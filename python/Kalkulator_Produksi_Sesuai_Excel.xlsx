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 Per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</cols>
  <sheetData>
    <row r="1">
      <c r="A1" s="1" t="inlineStr">
        <is>
          <t>Produk: CNF001 - 10 ml</t>
        </is>
      </c>
    </row>
    <row r="2">
      <c r="A2" t="inlineStr">
        <is>
          <t>Potensi Hasil Produk (Yield):</t>
        </is>
      </c>
      <c r="B2" s="2" t="n">
        <v>100</v>
      </c>
    </row>
    <row r="3">
      <c r="A3" s="3" t="inlineStr">
        <is>
          <t>Bahan</t>
        </is>
      </c>
      <c r="B3" s="3" t="inlineStr">
        <is>
          <t>Jumlah per Botol (ml/unit)</t>
        </is>
      </c>
      <c r="C3" s="3" t="inlineStr">
        <is>
          <t>Jumlah untuk 100 Botol (ml/unit)</t>
        </is>
      </c>
      <c r="D3" s="3" t="inlineStr">
        <is>
          <t>Keterangan</t>
        </is>
      </c>
    </row>
    <row r="4">
      <c r="A4" s="4" t="inlineStr">
        <is>
          <t>Botol 10 ml</t>
        </is>
      </c>
      <c r="B4" s="4" t="inlineStr">
        <is>
          <t>1 botol (10 ml)</t>
        </is>
      </c>
      <c r="C4" s="4">
        <f>B2&amp;" botol ("&amp;B2*10&amp;" ml)"</f>
        <v/>
      </c>
      <c r="D4" s="4" t="inlineStr">
        <is>
          <t>Botol 10 ml untuk setiap produk</t>
        </is>
      </c>
    </row>
    <row r="5">
      <c r="A5" s="4" t="inlineStr">
        <is>
          <t>Essence Oil</t>
        </is>
      </c>
      <c r="B5" s="4" t="inlineStr">
        <is>
          <t>0,15 ml</t>
        </is>
      </c>
      <c r="C5" s="4">
        <f>B2*0.15&amp;" ml"</f>
        <v/>
      </c>
      <c r="D5" s="4" t="inlineStr">
        <is>
          <t>Diperlukan untuk setiap botol</t>
        </is>
      </c>
    </row>
    <row r="6">
      <c r="A6" s="4" t="inlineStr">
        <is>
          <t>Sunflower Oil</t>
        </is>
      </c>
      <c r="B6" s="4" t="inlineStr">
        <is>
          <t>9,85 ml</t>
        </is>
      </c>
      <c r="C6" s="4">
        <f>B2*9.85&amp;" ml"</f>
        <v/>
      </c>
      <c r="D6" s="4" t="inlineStr">
        <is>
          <t>Sisa dari ukuran botol setelah essence oil</t>
        </is>
      </c>
    </row>
    <row r="7">
      <c r="A7" s="4" t="inlineStr">
        <is>
          <t>Stiker</t>
        </is>
      </c>
      <c r="B7" s="4" t="inlineStr">
        <is>
          <t>1 stiker</t>
        </is>
      </c>
      <c r="C7" s="4">
        <f>B2&amp;" stiker"</f>
        <v/>
      </c>
      <c r="D7" s="4" t="inlineStr">
        <is>
          <t>1 stiker per botol</t>
        </is>
      </c>
    </row>
    <row r="8">
      <c r="A8" s="4" t="inlineStr">
        <is>
          <t>Pump Botol</t>
        </is>
      </c>
      <c r="B8" s="4" t="inlineStr">
        <is>
          <t>1 pump</t>
        </is>
      </c>
      <c r="C8" s="4">
        <f>B2&amp;" pump"</f>
        <v/>
      </c>
      <c r="D8" s="4" t="inlineStr">
        <is>
          <t>1 pump per botol</t>
        </is>
      </c>
    </row>
    <row r="10">
      <c r="A10" s="1" t="inlineStr">
        <is>
          <t>Produk: CNF001 - 15 ml</t>
        </is>
      </c>
    </row>
    <row r="11">
      <c r="A11" t="inlineStr">
        <is>
          <t>Potensi Hasil Produk (Yield):</t>
        </is>
      </c>
      <c r="B11" s="2" t="n">
        <v>50</v>
      </c>
    </row>
    <row r="12">
      <c r="A12" s="3" t="inlineStr">
        <is>
          <t>Bahan</t>
        </is>
      </c>
      <c r="B12" s="3" t="inlineStr">
        <is>
          <t>Jumlah per Botol (ml/unit)</t>
        </is>
      </c>
      <c r="C12" s="3" t="inlineStr">
        <is>
          <t>Jumlah untuk 50 Botol (ml/unit)</t>
        </is>
      </c>
      <c r="D12" s="3" t="inlineStr">
        <is>
          <t>Keterangan</t>
        </is>
      </c>
    </row>
    <row r="13">
      <c r="A13" s="4" t="inlineStr">
        <is>
          <t>Botol 15 ml</t>
        </is>
      </c>
      <c r="B13" s="4" t="inlineStr">
        <is>
          <t>1 botol (15 ml)</t>
        </is>
      </c>
      <c r="C13" s="4">
        <f>B11&amp;" botol ("&amp;B11*15&amp;" ml)"</f>
        <v/>
      </c>
      <c r="D13" s="4" t="inlineStr">
        <is>
          <t>Botol 15 ml untuk setiap produk</t>
        </is>
      </c>
    </row>
    <row r="14">
      <c r="A14" s="4" t="inlineStr">
        <is>
          <t>Essence Oil</t>
        </is>
      </c>
      <c r="B14" s="4" t="inlineStr">
        <is>
          <t>0,3 ml</t>
        </is>
      </c>
      <c r="C14" s="4">
        <f>B11*0.3&amp;" ml"</f>
        <v/>
      </c>
      <c r="D14" s="4" t="inlineStr">
        <is>
          <t>Diperlukan untuk setiap botol</t>
        </is>
      </c>
    </row>
    <row r="15">
      <c r="A15" s="4" t="inlineStr">
        <is>
          <t>Sunflower Oil</t>
        </is>
      </c>
      <c r="B15" s="4" t="inlineStr">
        <is>
          <t>14,7 ml</t>
        </is>
      </c>
      <c r="C15" s="4">
        <f>B11*14.7&amp;" ml"</f>
        <v/>
      </c>
      <c r="D15" s="4" t="inlineStr">
        <is>
          <t>Sisa dari ukuran botol setelah essence oil</t>
        </is>
      </c>
    </row>
    <row r="16">
      <c r="A16" s="4" t="inlineStr">
        <is>
          <t>Stiker</t>
        </is>
      </c>
      <c r="B16" s="4" t="inlineStr">
        <is>
          <t>1 stiker</t>
        </is>
      </c>
      <c r="C16" s="4">
        <f>B11&amp;" stiker"</f>
        <v/>
      </c>
      <c r="D16" s="4" t="inlineStr">
        <is>
          <t>1 stiker per botol</t>
        </is>
      </c>
    </row>
    <row r="17">
      <c r="A17" s="4" t="inlineStr">
        <is>
          <t>Pump Botol</t>
        </is>
      </c>
      <c r="B17" s="4" t="inlineStr">
        <is>
          <t>1 pump</t>
        </is>
      </c>
      <c r="C17" s="4">
        <f>B11&amp;" pump"</f>
        <v/>
      </c>
      <c r="D17" s="4" t="inlineStr">
        <is>
          <t>1 pump per botol</t>
        </is>
      </c>
    </row>
    <row r="19">
      <c r="A19" s="1" t="inlineStr">
        <is>
          <t>Produk: CNF001 - 30 ml</t>
        </is>
      </c>
    </row>
    <row r="20">
      <c r="A20" t="inlineStr">
        <is>
          <t>Potensi Hasil Produk (Yield):</t>
        </is>
      </c>
      <c r="B20" s="2" t="n">
        <v>25</v>
      </c>
    </row>
    <row r="21">
      <c r="A21" s="3" t="inlineStr">
        <is>
          <t>Bahan</t>
        </is>
      </c>
      <c r="B21" s="3" t="inlineStr">
        <is>
          <t>Jumlah per Botol (ml/unit)</t>
        </is>
      </c>
      <c r="C21" s="3" t="inlineStr">
        <is>
          <t>Jumlah untuk 25 Botol (ml/unit)</t>
        </is>
      </c>
      <c r="D21" s="3" t="inlineStr">
        <is>
          <t>Keterangan</t>
        </is>
      </c>
    </row>
    <row r="22">
      <c r="A22" s="4" t="inlineStr">
        <is>
          <t>Botol 30 ml</t>
        </is>
      </c>
      <c r="B22" s="4" t="inlineStr">
        <is>
          <t>1 botol (30 ml)</t>
        </is>
      </c>
      <c r="C22" s="4">
        <f>B20&amp;" botol ("&amp;B20*30&amp;" ml)"</f>
        <v/>
      </c>
      <c r="D22" s="4" t="inlineStr">
        <is>
          <t>Botol 30 ml untuk setiap produk</t>
        </is>
      </c>
    </row>
    <row r="23">
      <c r="A23" s="4" t="inlineStr">
        <is>
          <t>Essence Oil</t>
        </is>
      </c>
      <c r="B23" s="4" t="inlineStr">
        <is>
          <t>0,6 ml</t>
        </is>
      </c>
      <c r="C23" s="4">
        <f>B20*0.6&amp;" ml"</f>
        <v/>
      </c>
      <c r="D23" s="4" t="inlineStr">
        <is>
          <t>Diperlukan untuk setiap botol</t>
        </is>
      </c>
    </row>
    <row r="24">
      <c r="A24" s="4" t="inlineStr">
        <is>
          <t>Sunflower Oil</t>
        </is>
      </c>
      <c r="B24" s="4" t="inlineStr">
        <is>
          <t>29,4 ml</t>
        </is>
      </c>
      <c r="C24" s="4">
        <f>B20*29.4&amp;" ml"</f>
        <v/>
      </c>
      <c r="D24" s="4" t="inlineStr">
        <is>
          <t>Sisa dari ukuran botol setelah essence oil</t>
        </is>
      </c>
    </row>
    <row r="25">
      <c r="A25" s="4" t="inlineStr">
        <is>
          <t>Stiker</t>
        </is>
      </c>
      <c r="B25" s="4" t="inlineStr">
        <is>
          <t>1 stiker</t>
        </is>
      </c>
      <c r="C25" s="4">
        <f>B20&amp;" stiker"</f>
        <v/>
      </c>
      <c r="D25" s="4" t="inlineStr">
        <is>
          <t>1 stiker per botol</t>
        </is>
      </c>
    </row>
    <row r="26">
      <c r="A26" s="4" t="inlineStr">
        <is>
          <t>Pump Botol</t>
        </is>
      </c>
      <c r="B26" s="4" t="inlineStr">
        <is>
          <t>1 pump</t>
        </is>
      </c>
      <c r="C26" s="4">
        <f>B20&amp;" pump"</f>
        <v/>
      </c>
      <c r="D26" s="4" t="inlineStr">
        <is>
          <t>1 pump per botol</t>
        </is>
      </c>
    </row>
    <row r="28">
      <c r="A28" s="1" t="inlineStr">
        <is>
          <t>Produk: CNF001 - 100 ml</t>
        </is>
      </c>
    </row>
    <row r="29">
      <c r="A29" t="inlineStr">
        <is>
          <t>Potensi Hasil Produk (Yield):</t>
        </is>
      </c>
      <c r="B29" s="2" t="n">
        <v>20</v>
      </c>
    </row>
    <row r="30">
      <c r="A30" s="3" t="inlineStr">
        <is>
          <t>Bahan</t>
        </is>
      </c>
      <c r="B30" s="3" t="inlineStr">
        <is>
          <t>Jumlah per Botol (ml/unit)</t>
        </is>
      </c>
      <c r="C30" s="3" t="inlineStr">
        <is>
          <t>Jumlah untuk 20 Botol (ml/unit)</t>
        </is>
      </c>
      <c r="D30" s="3" t="inlineStr">
        <is>
          <t>Keterangan</t>
        </is>
      </c>
    </row>
    <row r="31">
      <c r="A31" s="4" t="inlineStr">
        <is>
          <t>Botol 100 ml</t>
        </is>
      </c>
      <c r="B31" s="4" t="inlineStr">
        <is>
          <t>1 botol (100 ml)</t>
        </is>
      </c>
      <c r="C31" s="4">
        <f>B29&amp;" botol ("&amp;B29*100&amp;" ml)"</f>
        <v/>
      </c>
      <c r="D31" s="4" t="inlineStr">
        <is>
          <t>Botol 100 ml untuk setiap produk</t>
        </is>
      </c>
    </row>
    <row r="32">
      <c r="A32" s="4" t="inlineStr">
        <is>
          <t>Essence Oil</t>
        </is>
      </c>
      <c r="B32" s="4" t="inlineStr">
        <is>
          <t>0,75 ml</t>
        </is>
      </c>
      <c r="C32" s="4">
        <f>B29*0.75&amp;" ml"</f>
        <v/>
      </c>
      <c r="D32" s="4" t="inlineStr">
        <is>
          <t>Diperlukan untuk setiap botol</t>
        </is>
      </c>
    </row>
    <row r="33">
      <c r="A33" s="4" t="inlineStr">
        <is>
          <t>Sunflower Oil</t>
        </is>
      </c>
      <c r="B33" s="4" t="inlineStr">
        <is>
          <t>99,25 ml</t>
        </is>
      </c>
      <c r="C33" s="4">
        <f>B29*99.25&amp;" ml"</f>
        <v/>
      </c>
      <c r="D33" s="4" t="inlineStr">
        <is>
          <t>Sisa dari ukuran botol setelah essence oil</t>
        </is>
      </c>
    </row>
    <row r="34">
      <c r="A34" s="4" t="inlineStr">
        <is>
          <t>Stiker</t>
        </is>
      </c>
      <c r="B34" s="4" t="inlineStr">
        <is>
          <t>1 stiker</t>
        </is>
      </c>
      <c r="C34" s="4">
        <f>B29&amp;" stiker"</f>
        <v/>
      </c>
      <c r="D34" s="4" t="inlineStr">
        <is>
          <t>1 stiker per botol</t>
        </is>
      </c>
    </row>
    <row r="35">
      <c r="A35" s="4" t="inlineStr">
        <is>
          <t>Pump Botol</t>
        </is>
      </c>
      <c r="B35" s="4" t="inlineStr">
        <is>
          <t>1 pump</t>
        </is>
      </c>
      <c r="C35" s="4">
        <f>B29&amp;" pump"</f>
        <v/>
      </c>
      <c r="D35" s="4" t="inlineStr">
        <is>
          <t>1 pump per botol</t>
        </is>
      </c>
    </row>
    <row r="37">
      <c r="A37" s="1" t="inlineStr">
        <is>
          <t>Produk: CNF001 - 250 ml</t>
        </is>
      </c>
    </row>
    <row r="38">
      <c r="A38" t="inlineStr">
        <is>
          <t>Potensi Hasil Produk (Yield):</t>
        </is>
      </c>
      <c r="B38" s="2" t="n">
        <v>20</v>
      </c>
    </row>
    <row r="39">
      <c r="A39" s="3" t="inlineStr">
        <is>
          <t>Bahan</t>
        </is>
      </c>
      <c r="B39" s="3" t="inlineStr">
        <is>
          <t>Jumlah per Botol (ml/unit)</t>
        </is>
      </c>
      <c r="C39" s="3" t="inlineStr">
        <is>
          <t>Jumlah untuk 20 Botol (ml/unit)</t>
        </is>
      </c>
      <c r="D39" s="3" t="inlineStr">
        <is>
          <t>Keterangan</t>
        </is>
      </c>
    </row>
    <row r="40">
      <c r="A40" s="4" t="inlineStr">
        <is>
          <t>Botol 250 ml</t>
        </is>
      </c>
      <c r="B40" s="4" t="inlineStr">
        <is>
          <t>1 botol (250 ml)</t>
        </is>
      </c>
      <c r="C40" s="4">
        <f>B38&amp;" botol ("&amp;B38*250&amp;" ml)"</f>
        <v/>
      </c>
      <c r="D40" s="4" t="inlineStr">
        <is>
          <t>Botol 250 ml untuk setiap produk</t>
        </is>
      </c>
    </row>
    <row r="41">
      <c r="A41" s="4" t="inlineStr">
        <is>
          <t>Essence Oil</t>
        </is>
      </c>
      <c r="B41" s="4" t="inlineStr">
        <is>
          <t>0,75 ml</t>
        </is>
      </c>
      <c r="C41" s="4">
        <f>B38*0.75&amp;" ml"</f>
        <v/>
      </c>
      <c r="D41" s="4" t="inlineStr">
        <is>
          <t>Diperlukan untuk setiap botol</t>
        </is>
      </c>
    </row>
    <row r="42">
      <c r="A42" s="4" t="inlineStr">
        <is>
          <t>Sunflower Oil</t>
        </is>
      </c>
      <c r="B42" s="4" t="inlineStr">
        <is>
          <t>249,25 ml</t>
        </is>
      </c>
      <c r="C42" s="4">
        <f>B38*249.25&amp;" ml"</f>
        <v/>
      </c>
      <c r="D42" s="4" t="inlineStr">
        <is>
          <t>Sisa dari ukuran botol setelah essence oil</t>
        </is>
      </c>
    </row>
    <row r="43">
      <c r="A43" s="4" t="inlineStr">
        <is>
          <t>Stiker</t>
        </is>
      </c>
      <c r="B43" s="4" t="inlineStr">
        <is>
          <t>1 stiker</t>
        </is>
      </c>
      <c r="C43" s="4">
        <f>B38&amp;" stiker"</f>
        <v/>
      </c>
      <c r="D43" s="4" t="inlineStr">
        <is>
          <t>1 stiker per botol</t>
        </is>
      </c>
    </row>
    <row r="44">
      <c r="A44" s="4" t="inlineStr">
        <is>
          <t>Pump Botol</t>
        </is>
      </c>
      <c r="B44" s="4" t="inlineStr">
        <is>
          <t>1 pump</t>
        </is>
      </c>
      <c r="C44" s="4">
        <f>B38&amp;" pump"</f>
        <v/>
      </c>
      <c r="D44" s="4" t="inlineStr">
        <is>
          <t>1 pump per botol</t>
        </is>
      </c>
    </row>
    <row r="46">
      <c r="A46" s="1" t="inlineStr">
        <is>
          <t>Produk: DS001 - 10 ml</t>
        </is>
      </c>
    </row>
    <row r="47">
      <c r="A47" t="inlineStr">
        <is>
          <t>Potensi Hasil Produk (Yield):</t>
        </is>
      </c>
      <c r="B47" s="2" t="n">
        <v>50</v>
      </c>
    </row>
    <row r="48">
      <c r="A48" s="3" t="inlineStr">
        <is>
          <t>Bahan</t>
        </is>
      </c>
      <c r="B48" s="3" t="inlineStr">
        <is>
          <t>Jumlah per Botol (ml/unit)</t>
        </is>
      </c>
      <c r="C48" s="3" t="inlineStr">
        <is>
          <t>Jumlah untuk 50 Botol (ml/unit)</t>
        </is>
      </c>
      <c r="D48" s="3" t="inlineStr">
        <is>
          <t>Keterangan</t>
        </is>
      </c>
    </row>
    <row r="49">
      <c r="A49" s="4" t="inlineStr">
        <is>
          <t>Botol 10 ml</t>
        </is>
      </c>
      <c r="B49" s="4" t="inlineStr">
        <is>
          <t>1 botol (10 ml)</t>
        </is>
      </c>
      <c r="C49" s="4">
        <f>B47&amp;" botol ("&amp;B47*10&amp;" ml)"</f>
        <v/>
      </c>
      <c r="D49" s="4" t="inlineStr">
        <is>
          <t>Botol 10 ml untuk setiap produk</t>
        </is>
      </c>
    </row>
    <row r="50">
      <c r="A50" s="4" t="inlineStr">
        <is>
          <t>Essence Oil</t>
        </is>
      </c>
      <c r="B50" s="4" t="inlineStr">
        <is>
          <t>0,1 ml</t>
        </is>
      </c>
      <c r="C50" s="4">
        <f>B47*0.1&amp;" ml"</f>
        <v/>
      </c>
      <c r="D50" s="4" t="inlineStr">
        <is>
          <t>Diperlukan untuk setiap botol</t>
        </is>
      </c>
    </row>
    <row r="51">
      <c r="A51" s="4" t="inlineStr">
        <is>
          <t>Sunflower Oil</t>
        </is>
      </c>
      <c r="B51" s="4" t="inlineStr">
        <is>
          <t>9,9 ml</t>
        </is>
      </c>
      <c r="C51" s="4">
        <f>B47*9.9&amp;" ml"</f>
        <v/>
      </c>
      <c r="D51" s="4" t="inlineStr">
        <is>
          <t>Sisa dari ukuran botol setelah essence oil</t>
        </is>
      </c>
    </row>
    <row r="52">
      <c r="A52" s="4" t="inlineStr">
        <is>
          <t>Stiker</t>
        </is>
      </c>
      <c r="B52" s="4" t="inlineStr">
        <is>
          <t>1 stiker</t>
        </is>
      </c>
      <c r="C52" s="4">
        <f>B47&amp;" stiker"</f>
        <v/>
      </c>
      <c r="D52" s="4" t="inlineStr">
        <is>
          <t>1 stiker per botol</t>
        </is>
      </c>
    </row>
    <row r="53">
      <c r="A53" s="4" t="inlineStr">
        <is>
          <t>Pump Botol</t>
        </is>
      </c>
      <c r="B53" s="4" t="inlineStr">
        <is>
          <t>1 pump</t>
        </is>
      </c>
      <c r="C53" s="4">
        <f>B47&amp;" pump"</f>
        <v/>
      </c>
      <c r="D53" s="4" t="inlineStr">
        <is>
          <t>1 pump per botol</t>
        </is>
      </c>
    </row>
    <row r="55">
      <c r="A55" s="1" t="inlineStr">
        <is>
          <t>Produk: DS001 - 15 ml</t>
        </is>
      </c>
    </row>
    <row r="56">
      <c r="A56" t="inlineStr">
        <is>
          <t>Potensi Hasil Produk (Yield):</t>
        </is>
      </c>
      <c r="B56" s="2" t="n">
        <v>25</v>
      </c>
    </row>
    <row r="57">
      <c r="A57" s="3" t="inlineStr">
        <is>
          <t>Bahan</t>
        </is>
      </c>
      <c r="B57" s="3" t="inlineStr">
        <is>
          <t>Jumlah per Botol (ml/unit)</t>
        </is>
      </c>
      <c r="C57" s="3" t="inlineStr">
        <is>
          <t>Jumlah untuk 25 Botol (ml/unit)</t>
        </is>
      </c>
      <c r="D57" s="3" t="inlineStr">
        <is>
          <t>Keterangan</t>
        </is>
      </c>
    </row>
    <row r="58">
      <c r="A58" s="4" t="inlineStr">
        <is>
          <t>Botol 15 ml</t>
        </is>
      </c>
      <c r="B58" s="4" t="inlineStr">
        <is>
          <t>1 botol (15 ml)</t>
        </is>
      </c>
      <c r="C58" s="4">
        <f>B56&amp;" botol ("&amp;B56*15&amp;" ml)"</f>
        <v/>
      </c>
      <c r="D58" s="4" t="inlineStr">
        <is>
          <t>Botol 15 ml untuk setiap produk</t>
        </is>
      </c>
    </row>
    <row r="59">
      <c r="A59" s="4" t="inlineStr">
        <is>
          <t>Essence Oil</t>
        </is>
      </c>
      <c r="B59" s="4" t="inlineStr">
        <is>
          <t>0,2 ml</t>
        </is>
      </c>
      <c r="C59" s="4">
        <f>B56*0.2&amp;" ml"</f>
        <v/>
      </c>
      <c r="D59" s="4" t="inlineStr">
        <is>
          <t>Diperlukan untuk setiap botol</t>
        </is>
      </c>
    </row>
    <row r="60">
      <c r="A60" s="4" t="inlineStr">
        <is>
          <t>Sunflower Oil</t>
        </is>
      </c>
      <c r="B60" s="4" t="inlineStr">
        <is>
          <t>14,8 ml</t>
        </is>
      </c>
      <c r="C60" s="4">
        <f>B56*14.8&amp;" ml"</f>
        <v/>
      </c>
      <c r="D60" s="4" t="inlineStr">
        <is>
          <t>Sisa dari ukuran botol setelah essence oil</t>
        </is>
      </c>
    </row>
    <row r="61">
      <c r="A61" s="4" t="inlineStr">
        <is>
          <t>Stiker</t>
        </is>
      </c>
      <c r="B61" s="4" t="inlineStr">
        <is>
          <t>1 stiker</t>
        </is>
      </c>
      <c r="C61" s="4">
        <f>B56&amp;" stiker"</f>
        <v/>
      </c>
      <c r="D61" s="4" t="inlineStr">
        <is>
          <t>1 stiker per botol</t>
        </is>
      </c>
    </row>
    <row r="62">
      <c r="A62" s="4" t="inlineStr">
        <is>
          <t>Pump Botol</t>
        </is>
      </c>
      <c r="B62" s="4" t="inlineStr">
        <is>
          <t>1 pump</t>
        </is>
      </c>
      <c r="C62" s="4">
        <f>B56&amp;" pump"</f>
        <v/>
      </c>
      <c r="D62" s="4" t="inlineStr">
        <is>
          <t>1 pump per botol</t>
        </is>
      </c>
    </row>
    <row r="64">
      <c r="A64" s="1" t="inlineStr">
        <is>
          <t>Produk: DS001 - 30 ml</t>
        </is>
      </c>
    </row>
    <row r="65">
      <c r="A65" t="inlineStr">
        <is>
          <t>Potensi Hasil Produk (Yield):</t>
        </is>
      </c>
      <c r="B65" s="2" t="n">
        <v>12.5</v>
      </c>
    </row>
    <row r="66">
      <c r="A66" s="3" t="inlineStr">
        <is>
          <t>Bahan</t>
        </is>
      </c>
      <c r="B66" s="3" t="inlineStr">
        <is>
          <t>Jumlah per Botol (ml/unit)</t>
        </is>
      </c>
      <c r="C66" s="3" t="inlineStr">
        <is>
          <t>Jumlah untuk 12.5 Botol (ml/unit)</t>
        </is>
      </c>
      <c r="D66" s="3" t="inlineStr">
        <is>
          <t>Keterangan</t>
        </is>
      </c>
    </row>
    <row r="67">
      <c r="A67" s="4" t="inlineStr">
        <is>
          <t>Botol 30 ml</t>
        </is>
      </c>
      <c r="B67" s="4" t="inlineStr">
        <is>
          <t>1 botol (30 ml)</t>
        </is>
      </c>
      <c r="C67" s="4">
        <f>B65&amp;" botol ("&amp;B65*30&amp;" ml)"</f>
        <v/>
      </c>
      <c r="D67" s="4" t="inlineStr">
        <is>
          <t>Botol 30 ml untuk setiap produk</t>
        </is>
      </c>
    </row>
    <row r="68">
      <c r="A68" s="4" t="inlineStr">
        <is>
          <t>Essence Oil</t>
        </is>
      </c>
      <c r="B68" s="4" t="inlineStr">
        <is>
          <t>0,4 ml</t>
        </is>
      </c>
      <c r="C68" s="4">
        <f>B65*0.4&amp;" ml"</f>
        <v/>
      </c>
      <c r="D68" s="4" t="inlineStr">
        <is>
          <t>Diperlukan untuk setiap botol</t>
        </is>
      </c>
    </row>
    <row r="69">
      <c r="A69" s="4" t="inlineStr">
        <is>
          <t>Sunflower Oil</t>
        </is>
      </c>
      <c r="B69" s="4" t="inlineStr">
        <is>
          <t>29,6 ml</t>
        </is>
      </c>
      <c r="C69" s="4">
        <f>B65*29.6&amp;" ml"</f>
        <v/>
      </c>
      <c r="D69" s="4" t="inlineStr">
        <is>
          <t>Sisa dari ukuran botol setelah essence oil</t>
        </is>
      </c>
    </row>
    <row r="70">
      <c r="A70" s="4" t="inlineStr">
        <is>
          <t>Stiker</t>
        </is>
      </c>
      <c r="B70" s="4" t="inlineStr">
        <is>
          <t>1 stiker</t>
        </is>
      </c>
      <c r="C70" s="4">
        <f>B65&amp;" stiker"</f>
        <v/>
      </c>
      <c r="D70" s="4" t="inlineStr">
        <is>
          <t>1 stiker per botol</t>
        </is>
      </c>
    </row>
    <row r="71">
      <c r="A71" s="4" t="inlineStr">
        <is>
          <t>Pump Botol</t>
        </is>
      </c>
      <c r="B71" s="4" t="inlineStr">
        <is>
          <t>1 pump</t>
        </is>
      </c>
      <c r="C71" s="4">
        <f>B65&amp;" pump"</f>
        <v/>
      </c>
      <c r="D71" s="4" t="inlineStr">
        <is>
          <t>1 pump per botol</t>
        </is>
      </c>
    </row>
    <row r="73">
      <c r="A73" s="1" t="inlineStr">
        <is>
          <t>Produk: DS001 - 100 ml</t>
        </is>
      </c>
    </row>
    <row r="74">
      <c r="A74" t="inlineStr">
        <is>
          <t>Potensi Hasil Produk (Yield):</t>
        </is>
      </c>
      <c r="B74" s="2" t="n">
        <v>6</v>
      </c>
    </row>
    <row r="75">
      <c r="A75" s="3" t="inlineStr">
        <is>
          <t>Bahan</t>
        </is>
      </c>
      <c r="B75" s="3" t="inlineStr">
        <is>
          <t>Jumlah per Botol (ml/unit)</t>
        </is>
      </c>
      <c r="C75" s="3" t="inlineStr">
        <is>
          <t>Jumlah untuk 6 Botol (ml/unit)</t>
        </is>
      </c>
      <c r="D75" s="3" t="inlineStr">
        <is>
          <t>Keterangan</t>
        </is>
      </c>
    </row>
    <row r="76">
      <c r="A76" s="4" t="inlineStr">
        <is>
          <t>Botol 100 ml</t>
        </is>
      </c>
      <c r="B76" s="4" t="inlineStr">
        <is>
          <t>1 botol (100 ml)</t>
        </is>
      </c>
      <c r="C76" s="4">
        <f>B74&amp;" botol ("&amp;B74*100&amp;" ml)"</f>
        <v/>
      </c>
      <c r="D76" s="4" t="inlineStr">
        <is>
          <t>Botol 100 ml untuk setiap produk</t>
        </is>
      </c>
    </row>
    <row r="77">
      <c r="A77" s="4" t="inlineStr">
        <is>
          <t>Essence Oil</t>
        </is>
      </c>
      <c r="B77" s="4" t="inlineStr">
        <is>
          <t>0,75 ml</t>
        </is>
      </c>
      <c r="C77" s="4">
        <f>B74*0.75&amp;" ml"</f>
        <v/>
      </c>
      <c r="D77" s="4" t="inlineStr">
        <is>
          <t>Diperlukan untuk setiap botol</t>
        </is>
      </c>
    </row>
    <row r="78">
      <c r="A78" s="4" t="inlineStr">
        <is>
          <t>Sunflower Oil</t>
        </is>
      </c>
      <c r="B78" s="4" t="inlineStr">
        <is>
          <t>99,25 ml</t>
        </is>
      </c>
      <c r="C78" s="4">
        <f>B74*99.25&amp;" ml"</f>
        <v/>
      </c>
      <c r="D78" s="4" t="inlineStr">
        <is>
          <t>Sisa dari ukuran botol setelah essence oil</t>
        </is>
      </c>
    </row>
    <row r="79">
      <c r="A79" s="4" t="inlineStr">
        <is>
          <t>Stiker</t>
        </is>
      </c>
      <c r="B79" s="4" t="inlineStr">
        <is>
          <t>1 stiker</t>
        </is>
      </c>
      <c r="C79" s="4">
        <f>B74&amp;" stiker"</f>
        <v/>
      </c>
      <c r="D79" s="4" t="inlineStr">
        <is>
          <t>1 stiker per botol</t>
        </is>
      </c>
    </row>
    <row r="80">
      <c r="A80" s="4" t="inlineStr">
        <is>
          <t>Pump Botol</t>
        </is>
      </c>
      <c r="B80" s="4" t="inlineStr">
        <is>
          <t>1 pump</t>
        </is>
      </c>
      <c r="C80" s="4">
        <f>B74&amp;" pump"</f>
        <v/>
      </c>
      <c r="D80" s="4" t="inlineStr">
        <is>
          <t>1 pump per botol</t>
        </is>
      </c>
    </row>
    <row r="82">
      <c r="A82" s="1" t="inlineStr">
        <is>
          <t>Produk: DS001 - 250 ml</t>
        </is>
      </c>
    </row>
    <row r="83">
      <c r="A83" t="inlineStr">
        <is>
          <t>Potensi Hasil Produk (Yield):</t>
        </is>
      </c>
      <c r="B83" s="2" t="n">
        <v>6</v>
      </c>
    </row>
    <row r="84">
      <c r="A84" s="3" t="inlineStr">
        <is>
          <t>Bahan</t>
        </is>
      </c>
      <c r="B84" s="3" t="inlineStr">
        <is>
          <t>Jumlah per Botol (ml/unit)</t>
        </is>
      </c>
      <c r="C84" s="3" t="inlineStr">
        <is>
          <t>Jumlah untuk 6 Botol (ml/unit)</t>
        </is>
      </c>
      <c r="D84" s="3" t="inlineStr">
        <is>
          <t>Keterangan</t>
        </is>
      </c>
    </row>
    <row r="85">
      <c r="A85" s="4" t="inlineStr">
        <is>
          <t>Botol 250 ml</t>
        </is>
      </c>
      <c r="B85" s="4" t="inlineStr">
        <is>
          <t>1 botol (250 ml)</t>
        </is>
      </c>
      <c r="C85" s="4">
        <f>B83&amp;" botol ("&amp;B83*250&amp;" ml)"</f>
        <v/>
      </c>
      <c r="D85" s="4" t="inlineStr">
        <is>
          <t>Botol 250 ml untuk setiap produk</t>
        </is>
      </c>
    </row>
    <row r="86">
      <c r="A86" s="4" t="inlineStr">
        <is>
          <t>Essence Oil</t>
        </is>
      </c>
      <c r="B86" s="4" t="inlineStr">
        <is>
          <t>0,75 ml</t>
        </is>
      </c>
      <c r="C86" s="4">
        <f>B83*0.75&amp;" ml"</f>
        <v/>
      </c>
      <c r="D86" s="4" t="inlineStr">
        <is>
          <t>Diperlukan untuk setiap botol</t>
        </is>
      </c>
    </row>
    <row r="87">
      <c r="A87" s="4" t="inlineStr">
        <is>
          <t>Sunflower Oil</t>
        </is>
      </c>
      <c r="B87" s="4" t="inlineStr">
        <is>
          <t>249,25 ml</t>
        </is>
      </c>
      <c r="C87" s="4">
        <f>B83*249.25&amp;" ml"</f>
        <v/>
      </c>
      <c r="D87" s="4" t="inlineStr">
        <is>
          <t>Sisa dari ukuran botol setelah essence oil</t>
        </is>
      </c>
    </row>
    <row r="88">
      <c r="A88" s="4" t="inlineStr">
        <is>
          <t>Stiker</t>
        </is>
      </c>
      <c r="B88" s="4" t="inlineStr">
        <is>
          <t>1 stiker</t>
        </is>
      </c>
      <c r="C88" s="4">
        <f>B83&amp;" stiker"</f>
        <v/>
      </c>
      <c r="D88" s="4" t="inlineStr">
        <is>
          <t>1 stiker per botol</t>
        </is>
      </c>
    </row>
    <row r="89">
      <c r="A89" s="4" t="inlineStr">
        <is>
          <t>Pump Botol</t>
        </is>
      </c>
      <c r="B89" s="4" t="inlineStr">
        <is>
          <t>1 pump</t>
        </is>
      </c>
      <c r="C89" s="4">
        <f>B83&amp;" pump"</f>
        <v/>
      </c>
      <c r="D89" s="4" t="inlineStr">
        <is>
          <t>1 pump per botol</t>
        </is>
      </c>
    </row>
    <row r="91">
      <c r="A91" s="1" t="inlineStr">
        <is>
          <t>Produk: GF001 - 10 ml</t>
        </is>
      </c>
    </row>
    <row r="92">
      <c r="A92" t="inlineStr">
        <is>
          <t>Potensi Hasil Produk (Yield):</t>
        </is>
      </c>
      <c r="B92" s="2" t="n">
        <v>150</v>
      </c>
    </row>
    <row r="93">
      <c r="A93" s="3" t="inlineStr">
        <is>
          <t>Bahan</t>
        </is>
      </c>
      <c r="B93" s="3" t="inlineStr">
        <is>
          <t>Jumlah per Botol (ml/unit)</t>
        </is>
      </c>
      <c r="C93" s="3" t="inlineStr">
        <is>
          <t>Jumlah untuk 150 Botol (ml/unit)</t>
        </is>
      </c>
      <c r="D93" s="3" t="inlineStr">
        <is>
          <t>Keterangan</t>
        </is>
      </c>
    </row>
    <row r="94">
      <c r="A94" s="4" t="inlineStr">
        <is>
          <t>Botol 10 ml</t>
        </is>
      </c>
      <c r="B94" s="4" t="inlineStr">
        <is>
          <t>1 botol (10 ml)</t>
        </is>
      </c>
      <c r="C94" s="4">
        <f>B92&amp;" botol ("&amp;B92*10&amp;" ml)"</f>
        <v/>
      </c>
      <c r="D94" s="4" t="inlineStr">
        <is>
          <t>Botol 10 ml untuk setiap produk</t>
        </is>
      </c>
    </row>
    <row r="95">
      <c r="A95" s="4" t="inlineStr">
        <is>
          <t>Essence Oil</t>
        </is>
      </c>
      <c r="B95" s="4" t="inlineStr">
        <is>
          <t>0,1 ml</t>
        </is>
      </c>
      <c r="C95" s="4">
        <f>B92*0.1&amp;" ml"</f>
        <v/>
      </c>
      <c r="D95" s="4" t="inlineStr">
        <is>
          <t>Diperlukan untuk setiap botol</t>
        </is>
      </c>
    </row>
    <row r="96">
      <c r="A96" s="4" t="inlineStr">
        <is>
          <t>Sunflower Oil</t>
        </is>
      </c>
      <c r="B96" s="4" t="inlineStr">
        <is>
          <t>9,9 ml</t>
        </is>
      </c>
      <c r="C96" s="4">
        <f>B92*9.9&amp;" ml"</f>
        <v/>
      </c>
      <c r="D96" s="4" t="inlineStr">
        <is>
          <t>Sisa dari ukuran botol setelah essence oil</t>
        </is>
      </c>
    </row>
    <row r="97">
      <c r="A97" s="4" t="inlineStr">
        <is>
          <t>Stiker</t>
        </is>
      </c>
      <c r="B97" s="4" t="inlineStr">
        <is>
          <t>1 stiker</t>
        </is>
      </c>
      <c r="C97" s="4">
        <f>B92&amp;" stiker"</f>
        <v/>
      </c>
      <c r="D97" s="4" t="inlineStr">
        <is>
          <t>1 stiker per botol</t>
        </is>
      </c>
    </row>
    <row r="98">
      <c r="A98" s="4" t="inlineStr">
        <is>
          <t>Pump Botol</t>
        </is>
      </c>
      <c r="B98" s="4" t="inlineStr">
        <is>
          <t>1 pump</t>
        </is>
      </c>
      <c r="C98" s="4">
        <f>B92&amp;" pump"</f>
        <v/>
      </c>
      <c r="D98" s="4" t="inlineStr">
        <is>
          <t>1 pump per botol</t>
        </is>
      </c>
    </row>
    <row r="100">
      <c r="A100" s="1" t="inlineStr">
        <is>
          <t>Produk: GF001 - 15 ml</t>
        </is>
      </c>
    </row>
    <row r="101">
      <c r="A101" t="inlineStr">
        <is>
          <t>Potensi Hasil Produk (Yield):</t>
        </is>
      </c>
      <c r="B101" s="2" t="n">
        <v>75</v>
      </c>
    </row>
    <row r="102">
      <c r="A102" s="3" t="inlineStr">
        <is>
          <t>Bahan</t>
        </is>
      </c>
      <c r="B102" s="3" t="inlineStr">
        <is>
          <t>Jumlah per Botol (ml/unit)</t>
        </is>
      </c>
      <c r="C102" s="3" t="inlineStr">
        <is>
          <t>Jumlah untuk 75 Botol (ml/unit)</t>
        </is>
      </c>
      <c r="D102" s="3" t="inlineStr">
        <is>
          <t>Keterangan</t>
        </is>
      </c>
    </row>
    <row r="103">
      <c r="A103" s="4" t="inlineStr">
        <is>
          <t>Botol 15 ml</t>
        </is>
      </c>
      <c r="B103" s="4" t="inlineStr">
        <is>
          <t>1 botol (15 ml)</t>
        </is>
      </c>
      <c r="C103" s="4">
        <f>B101&amp;" botol ("&amp;B101*15&amp;" ml)"</f>
        <v/>
      </c>
      <c r="D103" s="4" t="inlineStr">
        <is>
          <t>Botol 15 ml untuk setiap produk</t>
        </is>
      </c>
    </row>
    <row r="104">
      <c r="A104" s="4" t="inlineStr">
        <is>
          <t>Essence Oil</t>
        </is>
      </c>
      <c r="B104" s="4" t="inlineStr">
        <is>
          <t>0,2 ml</t>
        </is>
      </c>
      <c r="C104" s="4">
        <f>B101*0.2&amp;" ml"</f>
        <v/>
      </c>
      <c r="D104" s="4" t="inlineStr">
        <is>
          <t>Diperlukan untuk setiap botol</t>
        </is>
      </c>
    </row>
    <row r="105">
      <c r="A105" s="4" t="inlineStr">
        <is>
          <t>Sunflower Oil</t>
        </is>
      </c>
      <c r="B105" s="4" t="inlineStr">
        <is>
          <t>14,8 ml</t>
        </is>
      </c>
      <c r="C105" s="4">
        <f>B101*14.8&amp;" ml"</f>
        <v/>
      </c>
      <c r="D105" s="4" t="inlineStr">
        <is>
          <t>Sisa dari ukuran botol setelah essence oil</t>
        </is>
      </c>
    </row>
    <row r="106">
      <c r="A106" s="4" t="inlineStr">
        <is>
          <t>Stiker</t>
        </is>
      </c>
      <c r="B106" s="4" t="inlineStr">
        <is>
          <t>1 stiker</t>
        </is>
      </c>
      <c r="C106" s="4">
        <f>B101&amp;" stiker"</f>
        <v/>
      </c>
      <c r="D106" s="4" t="inlineStr">
        <is>
          <t>1 stiker per botol</t>
        </is>
      </c>
    </row>
    <row r="107">
      <c r="A107" s="4" t="inlineStr">
        <is>
          <t>Pump Botol</t>
        </is>
      </c>
      <c r="B107" s="4" t="inlineStr">
        <is>
          <t>1 pump</t>
        </is>
      </c>
      <c r="C107" s="4">
        <f>B101&amp;" pump"</f>
        <v/>
      </c>
      <c r="D107" s="4" t="inlineStr">
        <is>
          <t>1 pump per botol</t>
        </is>
      </c>
    </row>
    <row r="109">
      <c r="A109" s="1" t="inlineStr">
        <is>
          <t>Produk: GF001 - 30 ml</t>
        </is>
      </c>
    </row>
    <row r="110">
      <c r="A110" t="inlineStr">
        <is>
          <t>Potensi Hasil Produk (Yield):</t>
        </is>
      </c>
      <c r="B110" s="2" t="n">
        <v>37</v>
      </c>
    </row>
    <row r="111">
      <c r="A111" s="3" t="inlineStr">
        <is>
          <t>Bahan</t>
        </is>
      </c>
      <c r="B111" s="3" t="inlineStr">
        <is>
          <t>Jumlah per Botol (ml/unit)</t>
        </is>
      </c>
      <c r="C111" s="3" t="inlineStr">
        <is>
          <t>Jumlah untuk 37 Botol (ml/unit)</t>
        </is>
      </c>
      <c r="D111" s="3" t="inlineStr">
        <is>
          <t>Keterangan</t>
        </is>
      </c>
    </row>
    <row r="112">
      <c r="A112" s="4" t="inlineStr">
        <is>
          <t>Botol 30 ml</t>
        </is>
      </c>
      <c r="B112" s="4" t="inlineStr">
        <is>
          <t>1 botol (30 ml)</t>
        </is>
      </c>
      <c r="C112" s="4">
        <f>B110&amp;" botol ("&amp;B110*30&amp;" ml)"</f>
        <v/>
      </c>
      <c r="D112" s="4" t="inlineStr">
        <is>
          <t>Botol 30 ml untuk setiap produk</t>
        </is>
      </c>
    </row>
    <row r="113">
      <c r="A113" s="4" t="inlineStr">
        <is>
          <t>Essence Oil</t>
        </is>
      </c>
      <c r="B113" s="4" t="inlineStr">
        <is>
          <t>0,4 ml</t>
        </is>
      </c>
      <c r="C113" s="4">
        <f>B110*0.4&amp;" ml"</f>
        <v/>
      </c>
      <c r="D113" s="4" t="inlineStr">
        <is>
          <t>Diperlukan untuk setiap botol</t>
        </is>
      </c>
    </row>
    <row r="114">
      <c r="A114" s="4" t="inlineStr">
        <is>
          <t>Sunflower Oil</t>
        </is>
      </c>
      <c r="B114" s="4" t="inlineStr">
        <is>
          <t>29,6 ml</t>
        </is>
      </c>
      <c r="C114" s="4">
        <f>B110*29.6&amp;" ml"</f>
        <v/>
      </c>
      <c r="D114" s="4" t="inlineStr">
        <is>
          <t>Sisa dari ukuran botol setelah essence oil</t>
        </is>
      </c>
    </row>
    <row r="115">
      <c r="A115" s="4" t="inlineStr">
        <is>
          <t>Stiker</t>
        </is>
      </c>
      <c r="B115" s="4" t="inlineStr">
        <is>
          <t>1 stiker</t>
        </is>
      </c>
      <c r="C115" s="4">
        <f>B110&amp;" stiker"</f>
        <v/>
      </c>
      <c r="D115" s="4" t="inlineStr">
        <is>
          <t>1 stiker per botol</t>
        </is>
      </c>
    </row>
    <row r="116">
      <c r="A116" s="4" t="inlineStr">
        <is>
          <t>Pump Botol</t>
        </is>
      </c>
      <c r="B116" s="4" t="inlineStr">
        <is>
          <t>1 pump</t>
        </is>
      </c>
      <c r="C116" s="4">
        <f>B110&amp;" pump"</f>
        <v/>
      </c>
      <c r="D116" s="4" t="inlineStr">
        <is>
          <t>1 pump per botol</t>
        </is>
      </c>
    </row>
    <row r="118">
      <c r="A118" s="1" t="inlineStr">
        <is>
          <t>Produk: GF001 - 100 ml</t>
        </is>
      </c>
    </row>
    <row r="119">
      <c r="A119" t="inlineStr">
        <is>
          <t>Potensi Hasil Produk (Yield):</t>
        </is>
      </c>
      <c r="B119" s="2" t="n">
        <v>20</v>
      </c>
    </row>
    <row r="120">
      <c r="A120" s="3" t="inlineStr">
        <is>
          <t>Bahan</t>
        </is>
      </c>
      <c r="B120" s="3" t="inlineStr">
        <is>
          <t>Jumlah per Botol (ml/unit)</t>
        </is>
      </c>
      <c r="C120" s="3" t="inlineStr">
        <is>
          <t>Jumlah untuk 20 Botol (ml/unit)</t>
        </is>
      </c>
      <c r="D120" s="3" t="inlineStr">
        <is>
          <t>Keterangan</t>
        </is>
      </c>
    </row>
    <row r="121">
      <c r="A121" s="4" t="inlineStr">
        <is>
          <t>Botol 100 ml</t>
        </is>
      </c>
      <c r="B121" s="4" t="inlineStr">
        <is>
          <t>1 botol (100 ml)</t>
        </is>
      </c>
      <c r="C121" s="4">
        <f>B119&amp;" botol ("&amp;B119*100&amp;" ml)"</f>
        <v/>
      </c>
      <c r="D121" s="4" t="inlineStr">
        <is>
          <t>Botol 100 ml untuk setiap produk</t>
        </is>
      </c>
    </row>
    <row r="122">
      <c r="A122" s="4" t="inlineStr">
        <is>
          <t>Essence Oil</t>
        </is>
      </c>
      <c r="B122" s="4" t="inlineStr">
        <is>
          <t>0,75 ml</t>
        </is>
      </c>
      <c r="C122" s="4">
        <f>B119*0.75&amp;" ml"</f>
        <v/>
      </c>
      <c r="D122" s="4" t="inlineStr">
        <is>
          <t>Diperlukan untuk setiap botol</t>
        </is>
      </c>
    </row>
    <row r="123">
      <c r="A123" s="4" t="inlineStr">
        <is>
          <t>Sunflower Oil</t>
        </is>
      </c>
      <c r="B123" s="4" t="inlineStr">
        <is>
          <t>99,25 ml</t>
        </is>
      </c>
      <c r="C123" s="4">
        <f>B119*99.25&amp;" ml"</f>
        <v/>
      </c>
      <c r="D123" s="4" t="inlineStr">
        <is>
          <t>Sisa dari ukuran botol setelah essence oil</t>
        </is>
      </c>
    </row>
    <row r="124">
      <c r="A124" s="4" t="inlineStr">
        <is>
          <t>Stiker</t>
        </is>
      </c>
      <c r="B124" s="4" t="inlineStr">
        <is>
          <t>1 stiker</t>
        </is>
      </c>
      <c r="C124" s="4">
        <f>B119&amp;" stiker"</f>
        <v/>
      </c>
      <c r="D124" s="4" t="inlineStr">
        <is>
          <t>1 stiker per botol</t>
        </is>
      </c>
    </row>
    <row r="125">
      <c r="A125" s="4" t="inlineStr">
        <is>
          <t>Pump Botol</t>
        </is>
      </c>
      <c r="B125" s="4" t="inlineStr">
        <is>
          <t>1 pump</t>
        </is>
      </c>
      <c r="C125" s="4">
        <f>B119&amp;" pump"</f>
        <v/>
      </c>
      <c r="D125" s="4" t="inlineStr">
        <is>
          <t>1 pump per botol</t>
        </is>
      </c>
    </row>
    <row r="127">
      <c r="A127" s="1" t="inlineStr">
        <is>
          <t>Produk: GF001 - 250 ml</t>
        </is>
      </c>
    </row>
    <row r="128">
      <c r="A128" t="inlineStr">
        <is>
          <t>Potensi Hasil Produk (Yield):</t>
        </is>
      </c>
      <c r="B128" s="2" t="n">
        <v>20</v>
      </c>
    </row>
    <row r="129">
      <c r="A129" s="3" t="inlineStr">
        <is>
          <t>Bahan</t>
        </is>
      </c>
      <c r="B129" s="3" t="inlineStr">
        <is>
          <t>Jumlah per Botol (ml/unit)</t>
        </is>
      </c>
      <c r="C129" s="3" t="inlineStr">
        <is>
          <t>Jumlah untuk 20 Botol (ml/unit)</t>
        </is>
      </c>
      <c r="D129" s="3" t="inlineStr">
        <is>
          <t>Keterangan</t>
        </is>
      </c>
    </row>
    <row r="130">
      <c r="A130" s="4" t="inlineStr">
        <is>
          <t>Botol 250 ml</t>
        </is>
      </c>
      <c r="B130" s="4" t="inlineStr">
        <is>
          <t>1 botol (250 ml)</t>
        </is>
      </c>
      <c r="C130" s="4">
        <f>B128&amp;" botol ("&amp;B128*250&amp;" ml)"</f>
        <v/>
      </c>
      <c r="D130" s="4" t="inlineStr">
        <is>
          <t>Botol 250 ml untuk setiap produk</t>
        </is>
      </c>
    </row>
    <row r="131">
      <c r="A131" s="4" t="inlineStr">
        <is>
          <t>Essence Oil</t>
        </is>
      </c>
      <c r="B131" s="4" t="inlineStr">
        <is>
          <t>0,75 ml</t>
        </is>
      </c>
      <c r="C131" s="4">
        <f>B128*0.75&amp;" ml"</f>
        <v/>
      </c>
      <c r="D131" s="4" t="inlineStr">
        <is>
          <t>Diperlukan untuk setiap botol</t>
        </is>
      </c>
    </row>
    <row r="132">
      <c r="A132" s="4" t="inlineStr">
        <is>
          <t>Sunflower Oil</t>
        </is>
      </c>
      <c r="B132" s="4" t="inlineStr">
        <is>
          <t>249,25 ml</t>
        </is>
      </c>
      <c r="C132" s="4">
        <f>B128*249.25&amp;" ml"</f>
        <v/>
      </c>
      <c r="D132" s="4" t="inlineStr">
        <is>
          <t>Sisa dari ukuran botol setelah essence oil</t>
        </is>
      </c>
    </row>
    <row r="133">
      <c r="A133" s="4" t="inlineStr">
        <is>
          <t>Stiker</t>
        </is>
      </c>
      <c r="B133" s="4" t="inlineStr">
        <is>
          <t>1 stiker</t>
        </is>
      </c>
      <c r="C133" s="4">
        <f>B128&amp;" stiker"</f>
        <v/>
      </c>
      <c r="D133" s="4" t="inlineStr">
        <is>
          <t>1 stiker per botol</t>
        </is>
      </c>
    </row>
    <row r="134">
      <c r="A134" s="4" t="inlineStr">
        <is>
          <t>Pump Botol</t>
        </is>
      </c>
      <c r="B134" s="4" t="inlineStr">
        <is>
          <t>1 pump</t>
        </is>
      </c>
      <c r="C134" s="4">
        <f>B128&amp;" pump"</f>
        <v/>
      </c>
      <c r="D134" s="4" t="inlineStr">
        <is>
          <t>1 pump per botol</t>
        </is>
      </c>
    </row>
    <row r="136">
      <c r="A136" s="1" t="inlineStr">
        <is>
          <t>Produk: TC001 - 10 ml</t>
        </is>
      </c>
    </row>
    <row r="137">
      <c r="A137" t="inlineStr">
        <is>
          <t>Potensi Hasil Produk (Yield):</t>
        </is>
      </c>
      <c r="B137" s="2" t="n">
        <v>150</v>
      </c>
    </row>
    <row r="138">
      <c r="A138" s="3" t="inlineStr">
        <is>
          <t>Bahan</t>
        </is>
      </c>
      <c r="B138" s="3" t="inlineStr">
        <is>
          <t>Jumlah per Botol (ml/unit)</t>
        </is>
      </c>
      <c r="C138" s="3" t="inlineStr">
        <is>
          <t>Jumlah untuk 150 Botol (ml/unit)</t>
        </is>
      </c>
      <c r="D138" s="3" t="inlineStr">
        <is>
          <t>Keterangan</t>
        </is>
      </c>
    </row>
    <row r="139">
      <c r="A139" s="4" t="inlineStr">
        <is>
          <t>Botol 10 ml</t>
        </is>
      </c>
      <c r="B139" s="4" t="inlineStr">
        <is>
          <t>1 botol (10 ml)</t>
        </is>
      </c>
      <c r="C139" s="4">
        <f>B137&amp;" botol ("&amp;B137*10&amp;" ml)"</f>
        <v/>
      </c>
      <c r="D139" s="4" t="inlineStr">
        <is>
          <t>Botol 10 ml untuk setiap produk</t>
        </is>
      </c>
    </row>
    <row r="140">
      <c r="A140" s="4" t="inlineStr">
        <is>
          <t>Essence Oil</t>
        </is>
      </c>
      <c r="B140" s="4" t="inlineStr">
        <is>
          <t>0,1 ml</t>
        </is>
      </c>
      <c r="C140" s="4">
        <f>B137*0.1&amp;" ml"</f>
        <v/>
      </c>
      <c r="D140" s="4" t="inlineStr">
        <is>
          <t>Diperlukan untuk setiap botol</t>
        </is>
      </c>
    </row>
    <row r="141">
      <c r="A141" s="4" t="inlineStr">
        <is>
          <t>Sunflower Oil</t>
        </is>
      </c>
      <c r="B141" s="4" t="inlineStr">
        <is>
          <t>9,9 ml</t>
        </is>
      </c>
      <c r="C141" s="4">
        <f>B137*9.9&amp;" ml"</f>
        <v/>
      </c>
      <c r="D141" s="4" t="inlineStr">
        <is>
          <t>Sisa dari ukuran botol setelah essence oil</t>
        </is>
      </c>
    </row>
    <row r="142">
      <c r="A142" s="4" t="inlineStr">
        <is>
          <t>Stiker</t>
        </is>
      </c>
      <c r="B142" s="4" t="inlineStr">
        <is>
          <t>1 stiker</t>
        </is>
      </c>
      <c r="C142" s="4">
        <f>B137&amp;" stiker"</f>
        <v/>
      </c>
      <c r="D142" s="4" t="inlineStr">
        <is>
          <t>1 stiker per botol</t>
        </is>
      </c>
    </row>
    <row r="143">
      <c r="A143" s="4" t="inlineStr">
        <is>
          <t>Pump Botol</t>
        </is>
      </c>
      <c r="B143" s="4" t="inlineStr">
        <is>
          <t>1 pump</t>
        </is>
      </c>
      <c r="C143" s="4">
        <f>B137&amp;" pump"</f>
        <v/>
      </c>
      <c r="D143" s="4" t="inlineStr">
        <is>
          <t>1 pump per botol</t>
        </is>
      </c>
    </row>
    <row r="145">
      <c r="A145" s="1" t="inlineStr">
        <is>
          <t>Produk: TC001 - 15 ml</t>
        </is>
      </c>
    </row>
    <row r="146">
      <c r="A146" t="inlineStr">
        <is>
          <t>Potensi Hasil Produk (Yield):</t>
        </is>
      </c>
      <c r="B146" s="2" t="n">
        <v>50</v>
      </c>
    </row>
    <row r="147">
      <c r="A147" s="3" t="inlineStr">
        <is>
          <t>Bahan</t>
        </is>
      </c>
      <c r="B147" s="3" t="inlineStr">
        <is>
          <t>Jumlah per Botol (ml/unit)</t>
        </is>
      </c>
      <c r="C147" s="3" t="inlineStr">
        <is>
          <t>Jumlah untuk 50 Botol (ml/unit)</t>
        </is>
      </c>
      <c r="D147" s="3" t="inlineStr">
        <is>
          <t>Keterangan</t>
        </is>
      </c>
    </row>
    <row r="148">
      <c r="A148" s="4" t="inlineStr">
        <is>
          <t>Botol 15 ml</t>
        </is>
      </c>
      <c r="B148" s="4" t="inlineStr">
        <is>
          <t>1 botol (15 ml)</t>
        </is>
      </c>
      <c r="C148" s="4">
        <f>B146&amp;" botol ("&amp;B146*15&amp;" ml)"</f>
        <v/>
      </c>
      <c r="D148" s="4" t="inlineStr">
        <is>
          <t>Botol 15 ml untuk setiap produk</t>
        </is>
      </c>
    </row>
    <row r="149">
      <c r="A149" s="4" t="inlineStr">
        <is>
          <t>Essence Oil</t>
        </is>
      </c>
      <c r="B149" s="4" t="inlineStr">
        <is>
          <t>0,3 ml</t>
        </is>
      </c>
      <c r="C149" s="4">
        <f>B146*0.3&amp;" ml"</f>
        <v/>
      </c>
      <c r="D149" s="4" t="inlineStr">
        <is>
          <t>Diperlukan untuk setiap botol</t>
        </is>
      </c>
    </row>
    <row r="150">
      <c r="A150" s="4" t="inlineStr">
        <is>
          <t>Sunflower Oil</t>
        </is>
      </c>
      <c r="B150" s="4" t="inlineStr">
        <is>
          <t>14,7 ml</t>
        </is>
      </c>
      <c r="C150" s="4">
        <f>B146*14.7&amp;" ml"</f>
        <v/>
      </c>
      <c r="D150" s="4" t="inlineStr">
        <is>
          <t>Sisa dari ukuran botol setelah essence oil</t>
        </is>
      </c>
    </row>
    <row r="151">
      <c r="A151" s="4" t="inlineStr">
        <is>
          <t>Stiker</t>
        </is>
      </c>
      <c r="B151" s="4" t="inlineStr">
        <is>
          <t>1 stiker</t>
        </is>
      </c>
      <c r="C151" s="4">
        <f>B146&amp;" stiker"</f>
        <v/>
      </c>
      <c r="D151" s="4" t="inlineStr">
        <is>
          <t>1 stiker per botol</t>
        </is>
      </c>
    </row>
    <row r="152">
      <c r="A152" s="4" t="inlineStr">
        <is>
          <t>Pump Botol</t>
        </is>
      </c>
      <c r="B152" s="4" t="inlineStr">
        <is>
          <t>1 pump</t>
        </is>
      </c>
      <c r="C152" s="4">
        <f>B146&amp;" pump"</f>
        <v/>
      </c>
      <c r="D152" s="4" t="inlineStr">
        <is>
          <t>1 pump per botol</t>
        </is>
      </c>
    </row>
    <row r="154">
      <c r="A154" s="1" t="inlineStr">
        <is>
          <t>Produk: TC001 - 30 ml</t>
        </is>
      </c>
    </row>
    <row r="155">
      <c r="A155" t="inlineStr">
        <is>
          <t>Potensi Hasil Produk (Yield):</t>
        </is>
      </c>
      <c r="B155" s="2" t="n">
        <v>37</v>
      </c>
    </row>
    <row r="156">
      <c r="A156" s="3" t="inlineStr">
        <is>
          <t>Bahan</t>
        </is>
      </c>
      <c r="B156" s="3" t="inlineStr">
        <is>
          <t>Jumlah per Botol (ml/unit)</t>
        </is>
      </c>
      <c r="C156" s="3" t="inlineStr">
        <is>
          <t>Jumlah untuk 37 Botol (ml/unit)</t>
        </is>
      </c>
      <c r="D156" s="3" t="inlineStr">
        <is>
          <t>Keterangan</t>
        </is>
      </c>
    </row>
    <row r="157">
      <c r="A157" s="4" t="inlineStr">
        <is>
          <t>Botol 30 ml</t>
        </is>
      </c>
      <c r="B157" s="4" t="inlineStr">
        <is>
          <t>1 botol (30 ml)</t>
        </is>
      </c>
      <c r="C157" s="4">
        <f>B155&amp;" botol ("&amp;B155*30&amp;" ml)"</f>
        <v/>
      </c>
      <c r="D157" s="4" t="inlineStr">
        <is>
          <t>Botol 30 ml untuk setiap produk</t>
        </is>
      </c>
    </row>
    <row r="158">
      <c r="A158" s="4" t="inlineStr">
        <is>
          <t>Essence Oil</t>
        </is>
      </c>
      <c r="B158" s="4" t="inlineStr">
        <is>
          <t>0,4 ml</t>
        </is>
      </c>
      <c r="C158" s="4">
        <f>B155*0.4&amp;" ml"</f>
        <v/>
      </c>
      <c r="D158" s="4" t="inlineStr">
        <is>
          <t>Diperlukan untuk setiap botol</t>
        </is>
      </c>
    </row>
    <row r="159">
      <c r="A159" s="4" t="inlineStr">
        <is>
          <t>Sunflower Oil</t>
        </is>
      </c>
      <c r="B159" s="4" t="inlineStr">
        <is>
          <t>29,6 ml</t>
        </is>
      </c>
      <c r="C159" s="4">
        <f>B155*29.6&amp;" ml"</f>
        <v/>
      </c>
      <c r="D159" s="4" t="inlineStr">
        <is>
          <t>Sisa dari ukuran botol setelah essence oil</t>
        </is>
      </c>
    </row>
    <row r="160">
      <c r="A160" s="4" t="inlineStr">
        <is>
          <t>Stiker</t>
        </is>
      </c>
      <c r="B160" s="4" t="inlineStr">
        <is>
          <t>1 stiker</t>
        </is>
      </c>
      <c r="C160" s="4">
        <f>B155&amp;" stiker"</f>
        <v/>
      </c>
      <c r="D160" s="4" t="inlineStr">
        <is>
          <t>1 stiker per botol</t>
        </is>
      </c>
    </row>
    <row r="161">
      <c r="A161" s="4" t="inlineStr">
        <is>
          <t>Pump Botol</t>
        </is>
      </c>
      <c r="B161" s="4" t="inlineStr">
        <is>
          <t>1 pump</t>
        </is>
      </c>
      <c r="C161" s="4">
        <f>B155&amp;" pump"</f>
        <v/>
      </c>
      <c r="D161" s="4" t="inlineStr">
        <is>
          <t>1 pump per botol</t>
        </is>
      </c>
    </row>
    <row r="163">
      <c r="A163" s="1" t="inlineStr">
        <is>
          <t>Produk: TC001 - 100 ml</t>
        </is>
      </c>
    </row>
    <row r="164">
      <c r="A164" t="inlineStr">
        <is>
          <t>Potensi Hasil Produk (Yield):</t>
        </is>
      </c>
      <c r="B164" s="2" t="n">
        <v>20</v>
      </c>
    </row>
    <row r="165">
      <c r="A165" s="3" t="inlineStr">
        <is>
          <t>Bahan</t>
        </is>
      </c>
      <c r="B165" s="3" t="inlineStr">
        <is>
          <t>Jumlah per Botol (ml/unit)</t>
        </is>
      </c>
      <c r="C165" s="3" t="inlineStr">
        <is>
          <t>Jumlah untuk 20 Botol (ml/unit)</t>
        </is>
      </c>
      <c r="D165" s="3" t="inlineStr">
        <is>
          <t>Keterangan</t>
        </is>
      </c>
    </row>
    <row r="166">
      <c r="A166" s="4" t="inlineStr">
        <is>
          <t>Botol 100 ml</t>
        </is>
      </c>
      <c r="B166" s="4" t="inlineStr">
        <is>
          <t>1 botol (100 ml)</t>
        </is>
      </c>
      <c r="C166" s="4">
        <f>B164&amp;" botol ("&amp;B164*100&amp;" ml)"</f>
        <v/>
      </c>
      <c r="D166" s="4" t="inlineStr">
        <is>
          <t>Botol 100 ml untuk setiap produk</t>
        </is>
      </c>
    </row>
    <row r="167">
      <c r="A167" s="4" t="inlineStr">
        <is>
          <t>Essence Oil</t>
        </is>
      </c>
      <c r="B167" s="4" t="inlineStr">
        <is>
          <t>0,75 ml</t>
        </is>
      </c>
      <c r="C167" s="4">
        <f>B164*0.75&amp;" ml"</f>
        <v/>
      </c>
      <c r="D167" s="4" t="inlineStr">
        <is>
          <t>Diperlukan untuk setiap botol</t>
        </is>
      </c>
    </row>
    <row r="168">
      <c r="A168" s="4" t="inlineStr">
        <is>
          <t>Sunflower Oil</t>
        </is>
      </c>
      <c r="B168" s="4" t="inlineStr">
        <is>
          <t>99,25 ml</t>
        </is>
      </c>
      <c r="C168" s="4">
        <f>B164*99.25&amp;" ml"</f>
        <v/>
      </c>
      <c r="D168" s="4" t="inlineStr">
        <is>
          <t>Sisa dari ukuran botol setelah essence oil</t>
        </is>
      </c>
    </row>
    <row r="169">
      <c r="A169" s="4" t="inlineStr">
        <is>
          <t>Stiker</t>
        </is>
      </c>
      <c r="B169" s="4" t="inlineStr">
        <is>
          <t>1 stiker</t>
        </is>
      </c>
      <c r="C169" s="4">
        <f>B164&amp;" stiker"</f>
        <v/>
      </c>
      <c r="D169" s="4" t="inlineStr">
        <is>
          <t>1 stiker per botol</t>
        </is>
      </c>
    </row>
    <row r="170">
      <c r="A170" s="4" t="inlineStr">
        <is>
          <t>Pump Botol</t>
        </is>
      </c>
      <c r="B170" s="4" t="inlineStr">
        <is>
          <t>1 pump</t>
        </is>
      </c>
      <c r="C170" s="4">
        <f>B164&amp;" pump"</f>
        <v/>
      </c>
      <c r="D170" s="4" t="inlineStr">
        <is>
          <t>1 pump per botol</t>
        </is>
      </c>
    </row>
    <row r="172">
      <c r="A172" s="1" t="inlineStr">
        <is>
          <t>Produk: TC001 - 250 ml</t>
        </is>
      </c>
    </row>
    <row r="173">
      <c r="A173" t="inlineStr">
        <is>
          <t>Potensi Hasil Produk (Yield):</t>
        </is>
      </c>
      <c r="B173" s="2" t="n">
        <v>20</v>
      </c>
    </row>
    <row r="174">
      <c r="A174" s="3" t="inlineStr">
        <is>
          <t>Bahan</t>
        </is>
      </c>
      <c r="B174" s="3" t="inlineStr">
        <is>
          <t>Jumlah per Botol (ml/unit)</t>
        </is>
      </c>
      <c r="C174" s="3" t="inlineStr">
        <is>
          <t>Jumlah untuk 20 Botol (ml/unit)</t>
        </is>
      </c>
      <c r="D174" s="3" t="inlineStr">
        <is>
          <t>Keterangan</t>
        </is>
      </c>
    </row>
    <row r="175">
      <c r="A175" s="4" t="inlineStr">
        <is>
          <t>Botol 250 ml</t>
        </is>
      </c>
      <c r="B175" s="4" t="inlineStr">
        <is>
          <t>1 botol (250 ml)</t>
        </is>
      </c>
      <c r="C175" s="4">
        <f>B173&amp;" botol ("&amp;B173*250&amp;" ml)"</f>
        <v/>
      </c>
      <c r="D175" s="4" t="inlineStr">
        <is>
          <t>Botol 250 ml untuk setiap produk</t>
        </is>
      </c>
    </row>
    <row r="176">
      <c r="A176" s="4" t="inlineStr">
        <is>
          <t>Essence Oil</t>
        </is>
      </c>
      <c r="B176" s="4" t="inlineStr">
        <is>
          <t>0,75 ml</t>
        </is>
      </c>
      <c r="C176" s="4">
        <f>B173*0.75&amp;" ml"</f>
        <v/>
      </c>
      <c r="D176" s="4" t="inlineStr">
        <is>
          <t>Diperlukan untuk setiap botol</t>
        </is>
      </c>
    </row>
    <row r="177">
      <c r="A177" s="4" t="inlineStr">
        <is>
          <t>Sunflower Oil</t>
        </is>
      </c>
      <c r="B177" s="4" t="inlineStr">
        <is>
          <t>249,25 ml</t>
        </is>
      </c>
      <c r="C177" s="4">
        <f>B173*249.25&amp;" ml"</f>
        <v/>
      </c>
      <c r="D177" s="4" t="inlineStr">
        <is>
          <t>Sisa dari ukuran botol setelah essence oil</t>
        </is>
      </c>
    </row>
    <row r="178">
      <c r="A178" s="4" t="inlineStr">
        <is>
          <t>Stiker</t>
        </is>
      </c>
      <c r="B178" s="4" t="inlineStr">
        <is>
          <t>1 stiker</t>
        </is>
      </c>
      <c r="C178" s="4">
        <f>B173&amp;" stiker"</f>
        <v/>
      </c>
      <c r="D178" s="4" t="inlineStr">
        <is>
          <t>1 stiker per botol</t>
        </is>
      </c>
    </row>
    <row r="179">
      <c r="A179" s="4" t="inlineStr">
        <is>
          <t>Pump Botol</t>
        </is>
      </c>
      <c r="B179" s="4" t="inlineStr">
        <is>
          <t>1 pump</t>
        </is>
      </c>
      <c r="C179" s="4">
        <f>B173&amp;" pump"</f>
        <v/>
      </c>
      <c r="D179" s="4" t="inlineStr">
        <is>
          <t>1 pump per botol</t>
        </is>
      </c>
    </row>
    <row r="181">
      <c r="A181" s="1" t="inlineStr">
        <is>
          <t>Produk: IM001 - 10 ml</t>
        </is>
      </c>
    </row>
    <row r="182">
      <c r="A182" t="inlineStr">
        <is>
          <t>Potensi Hasil Produk (Yield):</t>
        </is>
      </c>
      <c r="B182" s="2" t="n">
        <v>150</v>
      </c>
    </row>
    <row r="183">
      <c r="A183" s="3" t="inlineStr">
        <is>
          <t>Bahan</t>
        </is>
      </c>
      <c r="B183" s="3" t="inlineStr">
        <is>
          <t>Jumlah per Botol (ml/unit)</t>
        </is>
      </c>
      <c r="C183" s="3" t="inlineStr">
        <is>
          <t>Jumlah untuk 150 Botol (ml/unit)</t>
        </is>
      </c>
      <c r="D183" s="3" t="inlineStr">
        <is>
          <t>Keterangan</t>
        </is>
      </c>
    </row>
    <row r="184">
      <c r="A184" s="4" t="inlineStr">
        <is>
          <t>Botol 10 ml</t>
        </is>
      </c>
      <c r="B184" s="4" t="inlineStr">
        <is>
          <t>1 botol (10 ml)</t>
        </is>
      </c>
      <c r="C184" s="4">
        <f>B182&amp;" botol ("&amp;B182*10&amp;" ml)"</f>
        <v/>
      </c>
      <c r="D184" s="4" t="inlineStr">
        <is>
          <t>Botol 10 ml untuk setiap produk</t>
        </is>
      </c>
    </row>
    <row r="185">
      <c r="A185" s="4" t="inlineStr">
        <is>
          <t>Essence Oil</t>
        </is>
      </c>
      <c r="B185" s="4" t="inlineStr">
        <is>
          <t>0,1 ml</t>
        </is>
      </c>
      <c r="C185" s="4">
        <f>B182*0.1&amp;" ml"</f>
        <v/>
      </c>
      <c r="D185" s="4" t="inlineStr">
        <is>
          <t>Diperlukan untuk setiap botol</t>
        </is>
      </c>
    </row>
    <row r="186">
      <c r="A186" s="4" t="inlineStr">
        <is>
          <t>Sunflower Oil</t>
        </is>
      </c>
      <c r="B186" s="4" t="inlineStr">
        <is>
          <t>9,9 ml</t>
        </is>
      </c>
      <c r="C186" s="4">
        <f>B182*9.9&amp;" ml"</f>
        <v/>
      </c>
      <c r="D186" s="4" t="inlineStr">
        <is>
          <t>Sisa dari ukuran botol setelah essence oil</t>
        </is>
      </c>
    </row>
    <row r="187">
      <c r="A187" s="4" t="inlineStr">
        <is>
          <t>Stiker</t>
        </is>
      </c>
      <c r="B187" s="4" t="inlineStr">
        <is>
          <t>1 stiker</t>
        </is>
      </c>
      <c r="C187" s="4">
        <f>B182&amp;" stiker"</f>
        <v/>
      </c>
      <c r="D187" s="4" t="inlineStr">
        <is>
          <t>1 stiker per botol</t>
        </is>
      </c>
    </row>
    <row r="188">
      <c r="A188" s="4" t="inlineStr">
        <is>
          <t>Pump Botol</t>
        </is>
      </c>
      <c r="B188" s="4" t="inlineStr">
        <is>
          <t>1 pump</t>
        </is>
      </c>
      <c r="C188" s="4">
        <f>B182&amp;" pump"</f>
        <v/>
      </c>
      <c r="D188" s="4" t="inlineStr">
        <is>
          <t>1 pump per botol</t>
        </is>
      </c>
    </row>
    <row r="190">
      <c r="A190" s="1" t="inlineStr">
        <is>
          <t>Produk: IM001 - 15 ml</t>
        </is>
      </c>
    </row>
    <row r="191">
      <c r="A191" t="inlineStr">
        <is>
          <t>Potensi Hasil Produk (Yield):</t>
        </is>
      </c>
      <c r="B191" s="2" t="n">
        <v>100</v>
      </c>
    </row>
    <row r="192">
      <c r="A192" s="3" t="inlineStr">
        <is>
          <t>Bahan</t>
        </is>
      </c>
      <c r="B192" s="3" t="inlineStr">
        <is>
          <t>Jumlah per Botol (ml/unit)</t>
        </is>
      </c>
      <c r="C192" s="3" t="inlineStr">
        <is>
          <t>Jumlah untuk 100 Botol (ml/unit)</t>
        </is>
      </c>
      <c r="D192" s="3" t="inlineStr">
        <is>
          <t>Keterangan</t>
        </is>
      </c>
    </row>
    <row r="193">
      <c r="A193" s="4" t="inlineStr">
        <is>
          <t>Botol 15 ml</t>
        </is>
      </c>
      <c r="B193" s="4" t="inlineStr">
        <is>
          <t>1 botol (15 ml)</t>
        </is>
      </c>
      <c r="C193" s="4">
        <f>B191&amp;" botol ("&amp;B191*15&amp;" ml)"</f>
        <v/>
      </c>
      <c r="D193" s="4" t="inlineStr">
        <is>
          <t>Botol 15 ml untuk setiap produk</t>
        </is>
      </c>
    </row>
    <row r="194">
      <c r="A194" s="4" t="inlineStr">
        <is>
          <t>Essence Oil</t>
        </is>
      </c>
      <c r="B194" s="4" t="inlineStr">
        <is>
          <t>0,15 ml</t>
        </is>
      </c>
      <c r="C194" s="4">
        <f>B191*0.15&amp;" ml"</f>
        <v/>
      </c>
      <c r="D194" s="4" t="inlineStr">
        <is>
          <t>Diperlukan untuk setiap botol</t>
        </is>
      </c>
    </row>
    <row r="195">
      <c r="A195" s="4" t="inlineStr">
        <is>
          <t>Sunflower Oil</t>
        </is>
      </c>
      <c r="B195" s="4" t="inlineStr">
        <is>
          <t>14,85 ml</t>
        </is>
      </c>
      <c r="C195" s="4">
        <f>B191*14.85&amp;" ml"</f>
        <v/>
      </c>
      <c r="D195" s="4" t="inlineStr">
        <is>
          <t>Sisa dari ukuran botol setelah essence oil</t>
        </is>
      </c>
    </row>
    <row r="196">
      <c r="A196" s="4" t="inlineStr">
        <is>
          <t>Stiker</t>
        </is>
      </c>
      <c r="B196" s="4" t="inlineStr">
        <is>
          <t>1 stiker</t>
        </is>
      </c>
      <c r="C196" s="4">
        <f>B191&amp;" stiker"</f>
        <v/>
      </c>
      <c r="D196" s="4" t="inlineStr">
        <is>
          <t>1 stiker per botol</t>
        </is>
      </c>
    </row>
    <row r="197">
      <c r="A197" s="4" t="inlineStr">
        <is>
          <t>Pump Botol</t>
        </is>
      </c>
      <c r="B197" s="4" t="inlineStr">
        <is>
          <t>1 pump</t>
        </is>
      </c>
      <c r="C197" s="4">
        <f>B191&amp;" pump"</f>
        <v/>
      </c>
      <c r="D197" s="4" t="inlineStr">
        <is>
          <t>1 pump per botol</t>
        </is>
      </c>
    </row>
    <row r="199">
      <c r="A199" s="1" t="inlineStr">
        <is>
          <t>Produk: IM001 - 30 ml</t>
        </is>
      </c>
    </row>
    <row r="200">
      <c r="A200" t="inlineStr">
        <is>
          <t>Potensi Hasil Produk (Yield):</t>
        </is>
      </c>
      <c r="B200" s="2" t="n">
        <v>50</v>
      </c>
    </row>
    <row r="201">
      <c r="A201" s="3" t="inlineStr">
        <is>
          <t>Bahan</t>
        </is>
      </c>
      <c r="B201" s="3" t="inlineStr">
        <is>
          <t>Jumlah per Botol (ml/unit)</t>
        </is>
      </c>
      <c r="C201" s="3" t="inlineStr">
        <is>
          <t>Jumlah untuk 50 Botol (ml/unit)</t>
        </is>
      </c>
      <c r="D201" s="3" t="inlineStr">
        <is>
          <t>Keterangan</t>
        </is>
      </c>
    </row>
    <row r="202">
      <c r="A202" s="4" t="inlineStr">
        <is>
          <t>Botol 30 ml</t>
        </is>
      </c>
      <c r="B202" s="4" t="inlineStr">
        <is>
          <t>1 botol (30 ml)</t>
        </is>
      </c>
      <c r="C202" s="4">
        <f>B200&amp;" botol ("&amp;B200*30&amp;" ml)"</f>
        <v/>
      </c>
      <c r="D202" s="4" t="inlineStr">
        <is>
          <t>Botol 30 ml untuk setiap produk</t>
        </is>
      </c>
    </row>
    <row r="203">
      <c r="A203" s="4" t="inlineStr">
        <is>
          <t>Essence Oil</t>
        </is>
      </c>
      <c r="B203" s="4" t="inlineStr">
        <is>
          <t>0,3 ml</t>
        </is>
      </c>
      <c r="C203" s="4">
        <f>B200*0.3&amp;" ml"</f>
        <v/>
      </c>
      <c r="D203" s="4" t="inlineStr">
        <is>
          <t>Diperlukan untuk setiap botol</t>
        </is>
      </c>
    </row>
    <row r="204">
      <c r="A204" s="4" t="inlineStr">
        <is>
          <t>Sunflower Oil</t>
        </is>
      </c>
      <c r="B204" s="4" t="inlineStr">
        <is>
          <t>29,7 ml</t>
        </is>
      </c>
      <c r="C204" s="4">
        <f>B200*29.7&amp;" ml"</f>
        <v/>
      </c>
      <c r="D204" s="4" t="inlineStr">
        <is>
          <t>Sisa dari ukuran botol setelah essence oil</t>
        </is>
      </c>
    </row>
    <row r="205">
      <c r="A205" s="4" t="inlineStr">
        <is>
          <t>Stiker</t>
        </is>
      </c>
      <c r="B205" s="4" t="inlineStr">
        <is>
          <t>1 stiker</t>
        </is>
      </c>
      <c r="C205" s="4">
        <f>B200&amp;" stiker"</f>
        <v/>
      </c>
      <c r="D205" s="4" t="inlineStr">
        <is>
          <t>1 stiker per botol</t>
        </is>
      </c>
    </row>
    <row r="206">
      <c r="A206" s="4" t="inlineStr">
        <is>
          <t>Pump Botol</t>
        </is>
      </c>
      <c r="B206" s="4" t="inlineStr">
        <is>
          <t>1 pump</t>
        </is>
      </c>
      <c r="C206" s="4">
        <f>B200&amp;" pump"</f>
        <v/>
      </c>
      <c r="D206" s="4" t="inlineStr">
        <is>
          <t>1 pump per botol</t>
        </is>
      </c>
    </row>
    <row r="208">
      <c r="A208" s="1" t="inlineStr">
        <is>
          <t>Produk: IM001 - 100 ml</t>
        </is>
      </c>
    </row>
    <row r="209">
      <c r="A209" t="inlineStr">
        <is>
          <t>Potensi Hasil Produk (Yield):</t>
        </is>
      </c>
      <c r="B209" s="2" t="n">
        <v>37</v>
      </c>
    </row>
    <row r="210">
      <c r="A210" s="3" t="inlineStr">
        <is>
          <t>Bahan</t>
        </is>
      </c>
      <c r="B210" s="3" t="inlineStr">
        <is>
          <t>Jumlah per Botol (ml/unit)</t>
        </is>
      </c>
      <c r="C210" s="3" t="inlineStr">
        <is>
          <t>Jumlah untuk 37 Botol (ml/unit)</t>
        </is>
      </c>
      <c r="D210" s="3" t="inlineStr">
        <is>
          <t>Keterangan</t>
        </is>
      </c>
    </row>
    <row r="211">
      <c r="A211" s="4" t="inlineStr">
        <is>
          <t>Botol 100 ml</t>
        </is>
      </c>
      <c r="B211" s="4" t="inlineStr">
        <is>
          <t>1 botol (100 ml)</t>
        </is>
      </c>
      <c r="C211" s="4">
        <f>B209&amp;" botol ("&amp;B209*100&amp;" ml)"</f>
        <v/>
      </c>
      <c r="D211" s="4" t="inlineStr">
        <is>
          <t>Botol 100 ml untuk setiap produk</t>
        </is>
      </c>
    </row>
    <row r="212">
      <c r="A212" s="4" t="inlineStr">
        <is>
          <t>Essence Oil</t>
        </is>
      </c>
      <c r="B212" s="4" t="inlineStr">
        <is>
          <t>0,4 ml</t>
        </is>
      </c>
      <c r="C212" s="4">
        <f>B209*0.4&amp;" ml"</f>
        <v/>
      </c>
      <c r="D212" s="4" t="inlineStr">
        <is>
          <t>Diperlukan untuk setiap botol</t>
        </is>
      </c>
    </row>
    <row r="213">
      <c r="A213" s="4" t="inlineStr">
        <is>
          <t>Sunflower Oil</t>
        </is>
      </c>
      <c r="B213" s="4" t="inlineStr">
        <is>
          <t>99,6 ml</t>
        </is>
      </c>
      <c r="C213" s="4">
        <f>B209*99.6&amp;" ml"</f>
        <v/>
      </c>
      <c r="D213" s="4" t="inlineStr">
        <is>
          <t>Sisa dari ukuran botol setelah essence oil</t>
        </is>
      </c>
    </row>
    <row r="214">
      <c r="A214" s="4" t="inlineStr">
        <is>
          <t>Stiker</t>
        </is>
      </c>
      <c r="B214" s="4" t="inlineStr">
        <is>
          <t>1 stiker</t>
        </is>
      </c>
      <c r="C214" s="4">
        <f>B209&amp;" stiker"</f>
        <v/>
      </c>
      <c r="D214" s="4" t="inlineStr">
        <is>
          <t>1 stiker per botol</t>
        </is>
      </c>
    </row>
    <row r="215">
      <c r="A215" s="4" t="inlineStr">
        <is>
          <t>Pump Botol</t>
        </is>
      </c>
      <c r="B215" s="4" t="inlineStr">
        <is>
          <t>1 pump</t>
        </is>
      </c>
      <c r="C215" s="4">
        <f>B209&amp;" pump"</f>
        <v/>
      </c>
      <c r="D215" s="4" t="inlineStr">
        <is>
          <t>1 pump per botol</t>
        </is>
      </c>
    </row>
    <row r="217">
      <c r="A217" s="1" t="inlineStr">
        <is>
          <t>Produk: IM001 - 250 ml</t>
        </is>
      </c>
    </row>
    <row r="218">
      <c r="A218" t="inlineStr">
        <is>
          <t>Potensi Hasil Produk (Yield):</t>
        </is>
      </c>
      <c r="B218" s="2" t="n">
        <v>37</v>
      </c>
    </row>
    <row r="219">
      <c r="A219" s="3" t="inlineStr">
        <is>
          <t>Bahan</t>
        </is>
      </c>
      <c r="B219" s="3" t="inlineStr">
        <is>
          <t>Jumlah per Botol (ml/unit)</t>
        </is>
      </c>
      <c r="C219" s="3" t="inlineStr">
        <is>
          <t>Jumlah untuk 37 Botol (ml/unit)</t>
        </is>
      </c>
      <c r="D219" s="3" t="inlineStr">
        <is>
          <t>Keterangan</t>
        </is>
      </c>
    </row>
    <row r="220">
      <c r="A220" s="4" t="inlineStr">
        <is>
          <t>Botol 250 ml</t>
        </is>
      </c>
      <c r="B220" s="4" t="inlineStr">
        <is>
          <t>1 botol (250 ml)</t>
        </is>
      </c>
      <c r="C220" s="4">
        <f>B218&amp;" botol ("&amp;B218*250&amp;" ml)"</f>
        <v/>
      </c>
      <c r="D220" s="4" t="inlineStr">
        <is>
          <t>Botol 250 ml untuk setiap produk</t>
        </is>
      </c>
    </row>
    <row r="221">
      <c r="A221" s="4" t="inlineStr">
        <is>
          <t>Essence Oil</t>
        </is>
      </c>
      <c r="B221" s="4" t="inlineStr">
        <is>
          <t>0,4 ml</t>
        </is>
      </c>
      <c r="C221" s="4">
        <f>B218*0.4&amp;" ml"</f>
        <v/>
      </c>
      <c r="D221" s="4" t="inlineStr">
        <is>
          <t>Diperlukan untuk setiap botol</t>
        </is>
      </c>
    </row>
    <row r="222">
      <c r="A222" s="4" t="inlineStr">
        <is>
          <t>Sunflower Oil</t>
        </is>
      </c>
      <c r="B222" s="4" t="inlineStr">
        <is>
          <t>249,6 ml</t>
        </is>
      </c>
      <c r="C222" s="4">
        <f>B218*249.6&amp;" ml"</f>
        <v/>
      </c>
      <c r="D222" s="4" t="inlineStr">
        <is>
          <t>Sisa dari ukuran botol setelah essence oil</t>
        </is>
      </c>
    </row>
    <row r="223">
      <c r="A223" s="4" t="inlineStr">
        <is>
          <t>Stiker</t>
        </is>
      </c>
      <c r="B223" s="4" t="inlineStr">
        <is>
          <t>1 stiker</t>
        </is>
      </c>
      <c r="C223" s="4">
        <f>B218&amp;" stiker"</f>
        <v/>
      </c>
      <c r="D223" s="4" t="inlineStr">
        <is>
          <t>1 stiker per botol</t>
        </is>
      </c>
    </row>
    <row r="224">
      <c r="A224" s="4" t="inlineStr">
        <is>
          <t>Pump Botol</t>
        </is>
      </c>
      <c r="B224" s="4" t="inlineStr">
        <is>
          <t>1 pump</t>
        </is>
      </c>
      <c r="C224" s="4">
        <f>B218&amp;" pump"</f>
        <v/>
      </c>
      <c r="D224" s="4" t="inlineStr">
        <is>
          <t>1 pump per botol</t>
        </is>
      </c>
    </row>
    <row r="226">
      <c r="A226" s="1" t="inlineStr">
        <is>
          <t>Produk: IM003 - 10 ml</t>
        </is>
      </c>
    </row>
    <row r="227">
      <c r="A227" t="inlineStr">
        <is>
          <t>Potensi Hasil Produk (Yield):</t>
        </is>
      </c>
      <c r="B227" s="2" t="n">
        <v>300</v>
      </c>
    </row>
    <row r="228">
      <c r="A228" s="3" t="inlineStr">
        <is>
          <t>Bahan</t>
        </is>
      </c>
      <c r="B228" s="3" t="inlineStr">
        <is>
          <t>Jumlah per Botol (ml/unit)</t>
        </is>
      </c>
      <c r="C228" s="3" t="inlineStr">
        <is>
          <t>Jumlah untuk 300 Botol (ml/unit)</t>
        </is>
      </c>
      <c r="D228" s="3" t="inlineStr">
        <is>
          <t>Keterangan</t>
        </is>
      </c>
    </row>
    <row r="229">
      <c r="A229" s="4" t="inlineStr">
        <is>
          <t>Botol 10 ml</t>
        </is>
      </c>
      <c r="B229" s="4" t="inlineStr">
        <is>
          <t>1 botol (10 ml)</t>
        </is>
      </c>
      <c r="C229" s="4">
        <f>B227&amp;" botol ("&amp;B227*10&amp;" ml)"</f>
        <v/>
      </c>
      <c r="D229" s="4" t="inlineStr">
        <is>
          <t>Botol 10 ml untuk setiap produk</t>
        </is>
      </c>
    </row>
    <row r="230">
      <c r="A230" s="4" t="inlineStr">
        <is>
          <t>Essence Oil</t>
        </is>
      </c>
      <c r="B230" s="4" t="inlineStr">
        <is>
          <t>0,05 ml</t>
        </is>
      </c>
      <c r="C230" s="4">
        <f>B227*0.05&amp;" ml"</f>
        <v/>
      </c>
      <c r="D230" s="4" t="inlineStr">
        <is>
          <t>Diperlukan untuk setiap botol</t>
        </is>
      </c>
    </row>
    <row r="231">
      <c r="A231" s="4" t="inlineStr">
        <is>
          <t>Sunflower Oil</t>
        </is>
      </c>
      <c r="B231" s="4" t="inlineStr">
        <is>
          <t>9,95 ml</t>
        </is>
      </c>
      <c r="C231" s="4">
        <f>B227*9.95&amp;" ml"</f>
        <v/>
      </c>
      <c r="D231" s="4" t="inlineStr">
        <is>
          <t>Sisa dari ukuran botol setelah essence oil</t>
        </is>
      </c>
    </row>
    <row r="232">
      <c r="A232" s="4" t="inlineStr">
        <is>
          <t>Stiker</t>
        </is>
      </c>
      <c r="B232" s="4" t="inlineStr">
        <is>
          <t>1 stiker</t>
        </is>
      </c>
      <c r="C232" s="4">
        <f>B227&amp;" stiker"</f>
        <v/>
      </c>
      <c r="D232" s="4" t="inlineStr">
        <is>
          <t>1 stiker per botol</t>
        </is>
      </c>
    </row>
    <row r="233">
      <c r="A233" s="4" t="inlineStr">
        <is>
          <t>Pump Botol</t>
        </is>
      </c>
      <c r="B233" s="4" t="inlineStr">
        <is>
          <t>1 pump</t>
        </is>
      </c>
      <c r="C233" s="4">
        <f>B227&amp;" pump"</f>
        <v/>
      </c>
      <c r="D233" s="4" t="inlineStr">
        <is>
          <t>1 pump per botol</t>
        </is>
      </c>
    </row>
    <row r="235">
      <c r="A235" s="1" t="inlineStr">
        <is>
          <t>Produk: IM003 - 15 ml</t>
        </is>
      </c>
    </row>
    <row r="236">
      <c r="A236" t="inlineStr">
        <is>
          <t>Potensi Hasil Produk (Yield):</t>
        </is>
      </c>
      <c r="B236" s="2" t="n">
        <v>100</v>
      </c>
    </row>
    <row r="237">
      <c r="A237" s="3" t="inlineStr">
        <is>
          <t>Bahan</t>
        </is>
      </c>
      <c r="B237" s="3" t="inlineStr">
        <is>
          <t>Jumlah per Botol (ml/unit)</t>
        </is>
      </c>
      <c r="C237" s="3" t="inlineStr">
        <is>
          <t>Jumlah untuk 100 Botol (ml/unit)</t>
        </is>
      </c>
      <c r="D237" s="3" t="inlineStr">
        <is>
          <t>Keterangan</t>
        </is>
      </c>
    </row>
    <row r="238">
      <c r="A238" s="4" t="inlineStr">
        <is>
          <t>Botol 15 ml</t>
        </is>
      </c>
      <c r="B238" s="4" t="inlineStr">
        <is>
          <t>1 botol (15 ml)</t>
        </is>
      </c>
      <c r="C238" s="4">
        <f>B236&amp;" botol ("&amp;B236*15&amp;" ml)"</f>
        <v/>
      </c>
      <c r="D238" s="4" t="inlineStr">
        <is>
          <t>Botol 15 ml untuk setiap produk</t>
        </is>
      </c>
    </row>
    <row r="239">
      <c r="A239" s="4" t="inlineStr">
        <is>
          <t>Essence Oil</t>
        </is>
      </c>
      <c r="B239" s="4" t="inlineStr">
        <is>
          <t>0,15 ml</t>
        </is>
      </c>
      <c r="C239" s="4">
        <f>B236*0.15&amp;" ml"</f>
        <v/>
      </c>
      <c r="D239" s="4" t="inlineStr">
        <is>
          <t>Diperlukan untuk setiap botol</t>
        </is>
      </c>
    </row>
    <row r="240">
      <c r="A240" s="4" t="inlineStr">
        <is>
          <t>Sunflower Oil</t>
        </is>
      </c>
      <c r="B240" s="4" t="inlineStr">
        <is>
          <t>14,85 ml</t>
        </is>
      </c>
      <c r="C240" s="4">
        <f>B236*14.85&amp;" ml"</f>
        <v/>
      </c>
      <c r="D240" s="4" t="inlineStr">
        <is>
          <t>Sisa dari ukuran botol setelah essence oil</t>
        </is>
      </c>
    </row>
    <row r="241">
      <c r="A241" s="4" t="inlineStr">
        <is>
          <t>Stiker</t>
        </is>
      </c>
      <c r="B241" s="4" t="inlineStr">
        <is>
          <t>1 stiker</t>
        </is>
      </c>
      <c r="C241" s="4">
        <f>B236&amp;" stiker"</f>
        <v/>
      </c>
      <c r="D241" s="4" t="inlineStr">
        <is>
          <t>1 stiker per botol</t>
        </is>
      </c>
    </row>
    <row r="242">
      <c r="A242" s="4" t="inlineStr">
        <is>
          <t>Pump Botol</t>
        </is>
      </c>
      <c r="B242" s="4" t="inlineStr">
        <is>
          <t>1 pump</t>
        </is>
      </c>
      <c r="C242" s="4">
        <f>B236&amp;" pump"</f>
        <v/>
      </c>
      <c r="D242" s="4" t="inlineStr">
        <is>
          <t>1 pump per botol</t>
        </is>
      </c>
    </row>
    <row r="244">
      <c r="A244" s="1" t="inlineStr">
        <is>
          <t>Produk: IM003 - 30 ml</t>
        </is>
      </c>
    </row>
    <row r="245">
      <c r="A245" t="inlineStr">
        <is>
          <t>Potensi Hasil Produk (Yield):</t>
        </is>
      </c>
      <c r="B245" s="2" t="n">
        <v>100</v>
      </c>
    </row>
    <row r="246">
      <c r="A246" s="3" t="inlineStr">
        <is>
          <t>Bahan</t>
        </is>
      </c>
      <c r="B246" s="3" t="inlineStr">
        <is>
          <t>Jumlah per Botol (ml/unit)</t>
        </is>
      </c>
      <c r="C246" s="3" t="inlineStr">
        <is>
          <t>Jumlah untuk 100 Botol (ml/unit)</t>
        </is>
      </c>
      <c r="D246" s="3" t="inlineStr">
        <is>
          <t>Keterangan</t>
        </is>
      </c>
    </row>
    <row r="247">
      <c r="A247" s="4" t="inlineStr">
        <is>
          <t>Botol 30 ml</t>
        </is>
      </c>
      <c r="B247" s="4" t="inlineStr">
        <is>
          <t>1 botol (30 ml)</t>
        </is>
      </c>
      <c r="C247" s="4">
        <f>B245&amp;" botol ("&amp;B245*30&amp;" ml)"</f>
        <v/>
      </c>
      <c r="D247" s="4" t="inlineStr">
        <is>
          <t>Botol 30 ml untuk setiap produk</t>
        </is>
      </c>
    </row>
    <row r="248">
      <c r="A248" s="4" t="inlineStr">
        <is>
          <t>Essence Oil</t>
        </is>
      </c>
      <c r="B248" s="4" t="inlineStr">
        <is>
          <t>0,15 ml</t>
        </is>
      </c>
      <c r="C248" s="4">
        <f>B245*0.15&amp;" ml"</f>
        <v/>
      </c>
      <c r="D248" s="4" t="inlineStr">
        <is>
          <t>Diperlukan untuk setiap botol</t>
        </is>
      </c>
    </row>
    <row r="249">
      <c r="A249" s="4" t="inlineStr">
        <is>
          <t>Sunflower Oil</t>
        </is>
      </c>
      <c r="B249" s="4" t="inlineStr">
        <is>
          <t>29,85 ml</t>
        </is>
      </c>
      <c r="C249" s="4">
        <f>B245*29.85&amp;" ml"</f>
        <v/>
      </c>
      <c r="D249" s="4" t="inlineStr">
        <is>
          <t>Sisa dari ukuran botol setelah essence oil</t>
        </is>
      </c>
    </row>
    <row r="250">
      <c r="A250" s="4" t="inlineStr">
        <is>
          <t>Stiker</t>
        </is>
      </c>
      <c r="B250" s="4" t="inlineStr">
        <is>
          <t>1 stiker</t>
        </is>
      </c>
      <c r="C250" s="4">
        <f>B245&amp;" stiker"</f>
        <v/>
      </c>
      <c r="D250" s="4" t="inlineStr">
        <is>
          <t>1 stiker per botol</t>
        </is>
      </c>
    </row>
    <row r="251">
      <c r="A251" s="4" t="inlineStr">
        <is>
          <t>Pump Botol</t>
        </is>
      </c>
      <c r="B251" s="4" t="inlineStr">
        <is>
          <t>1 pump</t>
        </is>
      </c>
      <c r="C251" s="4">
        <f>B245&amp;" pump"</f>
        <v/>
      </c>
      <c r="D251" s="4" t="inlineStr">
        <is>
          <t>1 pump per botol</t>
        </is>
      </c>
    </row>
    <row r="253">
      <c r="A253" s="1" t="inlineStr">
        <is>
          <t>Produk: IM003 - 100 ml</t>
        </is>
      </c>
    </row>
    <row r="254">
      <c r="A254" t="inlineStr">
        <is>
          <t>Potensi Hasil Produk (Yield):</t>
        </is>
      </c>
      <c r="B254" s="2" t="n">
        <v>25</v>
      </c>
    </row>
    <row r="255">
      <c r="A255" s="3" t="inlineStr">
        <is>
          <t>Bahan</t>
        </is>
      </c>
      <c r="B255" s="3" t="inlineStr">
        <is>
          <t>Jumlah per Botol (ml/unit)</t>
        </is>
      </c>
      <c r="C255" s="3" t="inlineStr">
        <is>
          <t>Jumlah untuk 25 Botol (ml/unit)</t>
        </is>
      </c>
      <c r="D255" s="3" t="inlineStr">
        <is>
          <t>Keterangan</t>
        </is>
      </c>
    </row>
    <row r="256">
      <c r="A256" s="4" t="inlineStr">
        <is>
          <t>Botol 100 ml</t>
        </is>
      </c>
      <c r="B256" s="4" t="inlineStr">
        <is>
          <t>1 botol (100 ml)</t>
        </is>
      </c>
      <c r="C256" s="4">
        <f>B254&amp;" botol ("&amp;B254*100&amp;" ml)"</f>
        <v/>
      </c>
      <c r="D256" s="4" t="inlineStr">
        <is>
          <t>Botol 100 ml untuk setiap produk</t>
        </is>
      </c>
    </row>
    <row r="257">
      <c r="A257" s="4" t="inlineStr">
        <is>
          <t>Essence Oil</t>
        </is>
      </c>
      <c r="B257" s="4" t="inlineStr">
        <is>
          <t>0,6 ml</t>
        </is>
      </c>
      <c r="C257" s="4">
        <f>B254*0.6&amp;" ml"</f>
        <v/>
      </c>
      <c r="D257" s="4" t="inlineStr">
        <is>
          <t>Diperlukan untuk setiap botol</t>
        </is>
      </c>
    </row>
    <row r="258">
      <c r="A258" s="4" t="inlineStr">
        <is>
          <t>Sunflower Oil</t>
        </is>
      </c>
      <c r="B258" s="4" t="inlineStr">
        <is>
          <t>99,4 ml</t>
        </is>
      </c>
      <c r="C258" s="4">
        <f>B254*99.4&amp;" ml"</f>
        <v/>
      </c>
      <c r="D258" s="4" t="inlineStr">
        <is>
          <t>Sisa dari ukuran botol setelah essence oil</t>
        </is>
      </c>
    </row>
    <row r="259">
      <c r="A259" s="4" t="inlineStr">
        <is>
          <t>Stiker</t>
        </is>
      </c>
      <c r="B259" s="4" t="inlineStr">
        <is>
          <t>1 stiker</t>
        </is>
      </c>
      <c r="C259" s="4">
        <f>B254&amp;" stiker"</f>
        <v/>
      </c>
      <c r="D259" s="4" t="inlineStr">
        <is>
          <t>1 stiker per botol</t>
        </is>
      </c>
    </row>
    <row r="260">
      <c r="A260" s="4" t="inlineStr">
        <is>
          <t>Pump Botol</t>
        </is>
      </c>
      <c r="B260" s="4" t="inlineStr">
        <is>
          <t>1 pump</t>
        </is>
      </c>
      <c r="C260" s="4">
        <f>B254&amp;" pump"</f>
        <v/>
      </c>
      <c r="D260" s="4" t="inlineStr">
        <is>
          <t>1 pump per botol</t>
        </is>
      </c>
    </row>
    <row r="262">
      <c r="A262" s="1" t="inlineStr">
        <is>
          <t>Produk: IM003 - 250 ml</t>
        </is>
      </c>
    </row>
    <row r="263">
      <c r="A263" t="inlineStr">
        <is>
          <t>Potensi Hasil Produk (Yield):</t>
        </is>
      </c>
      <c r="B263" s="2" t="n">
        <v>25</v>
      </c>
    </row>
    <row r="264">
      <c r="A264" s="3" t="inlineStr">
        <is>
          <t>Bahan</t>
        </is>
      </c>
      <c r="B264" s="3" t="inlineStr">
        <is>
          <t>Jumlah per Botol (ml/unit)</t>
        </is>
      </c>
      <c r="C264" s="3" t="inlineStr">
        <is>
          <t>Jumlah untuk 25 Botol (ml/unit)</t>
        </is>
      </c>
      <c r="D264" s="3" t="inlineStr">
        <is>
          <t>Keterangan</t>
        </is>
      </c>
    </row>
    <row r="265">
      <c r="A265" s="4" t="inlineStr">
        <is>
          <t>Botol 250 ml</t>
        </is>
      </c>
      <c r="B265" s="4" t="inlineStr">
        <is>
          <t>1 botol (250 ml)</t>
        </is>
      </c>
      <c r="C265" s="4">
        <f>B263&amp;" botol ("&amp;B263*250&amp;" ml)"</f>
        <v/>
      </c>
      <c r="D265" s="4" t="inlineStr">
        <is>
          <t>Botol 250 ml untuk setiap produk</t>
        </is>
      </c>
    </row>
    <row r="266">
      <c r="A266" s="4" t="inlineStr">
        <is>
          <t>Essence Oil</t>
        </is>
      </c>
      <c r="B266" s="4" t="inlineStr">
        <is>
          <t>0,6 ml</t>
        </is>
      </c>
      <c r="C266" s="4">
        <f>B263*0.6&amp;" ml"</f>
        <v/>
      </c>
      <c r="D266" s="4" t="inlineStr">
        <is>
          <t>Diperlukan untuk setiap botol</t>
        </is>
      </c>
    </row>
    <row r="267">
      <c r="A267" s="4" t="inlineStr">
        <is>
          <t>Sunflower Oil</t>
        </is>
      </c>
      <c r="B267" s="4" t="inlineStr">
        <is>
          <t>249,4 ml</t>
        </is>
      </c>
      <c r="C267" s="4">
        <f>B263*249.4&amp;" ml"</f>
        <v/>
      </c>
      <c r="D267" s="4" t="inlineStr">
        <is>
          <t>Sisa dari ukuran botol setelah essence oil</t>
        </is>
      </c>
    </row>
    <row r="268">
      <c r="A268" s="4" t="inlineStr">
        <is>
          <t>Stiker</t>
        </is>
      </c>
      <c r="B268" s="4" t="inlineStr">
        <is>
          <t>1 stiker</t>
        </is>
      </c>
      <c r="C268" s="4">
        <f>B263&amp;" stiker"</f>
        <v/>
      </c>
      <c r="D268" s="4" t="inlineStr">
        <is>
          <t>1 stiker per botol</t>
        </is>
      </c>
    </row>
    <row r="269">
      <c r="A269" s="4" t="inlineStr">
        <is>
          <t>Pump Botol</t>
        </is>
      </c>
      <c r="B269" s="4" t="inlineStr">
        <is>
          <t>1 pump</t>
        </is>
      </c>
      <c r="C269" s="4">
        <f>B263&amp;" pump"</f>
        <v/>
      </c>
      <c r="D269" s="4" t="inlineStr">
        <is>
          <t>1 pump per botol</t>
        </is>
      </c>
    </row>
    <row r="271">
      <c r="A271" s="1" t="inlineStr">
        <is>
          <t>Produk: JOY001 - 10 ml</t>
        </is>
      </c>
    </row>
    <row r="272">
      <c r="A272" t="inlineStr">
        <is>
          <t>Potensi Hasil Produk (Yield):</t>
        </is>
      </c>
      <c r="B272" s="2" t="n">
        <v>150</v>
      </c>
    </row>
    <row r="273">
      <c r="A273" s="3" t="inlineStr">
        <is>
          <t>Bahan</t>
        </is>
      </c>
      <c r="B273" s="3" t="inlineStr">
        <is>
          <t>Jumlah per Botol (ml/unit)</t>
        </is>
      </c>
      <c r="C273" s="3" t="inlineStr">
        <is>
          <t>Jumlah untuk 150 Botol (ml/unit)</t>
        </is>
      </c>
      <c r="D273" s="3" t="inlineStr">
        <is>
          <t>Keterangan</t>
        </is>
      </c>
    </row>
    <row r="274">
      <c r="A274" s="4" t="inlineStr">
        <is>
          <t>Botol 10 ml</t>
        </is>
      </c>
      <c r="B274" s="4" t="inlineStr">
        <is>
          <t>1 botol (10 ml)</t>
        </is>
      </c>
      <c r="C274" s="4">
        <f>B272&amp;" botol ("&amp;B272*10&amp;" ml)"</f>
        <v/>
      </c>
      <c r="D274" s="4" t="inlineStr">
        <is>
          <t>Botol 10 ml untuk setiap produk</t>
        </is>
      </c>
    </row>
    <row r="275">
      <c r="A275" s="4" t="inlineStr">
        <is>
          <t>Essence Oil</t>
        </is>
      </c>
      <c r="B275" s="4" t="inlineStr">
        <is>
          <t>0,1 ml</t>
        </is>
      </c>
      <c r="C275" s="4">
        <f>B272*0.1&amp;" ml"</f>
        <v/>
      </c>
      <c r="D275" s="4" t="inlineStr">
        <is>
          <t>Diperlukan untuk setiap botol</t>
        </is>
      </c>
    </row>
    <row r="276">
      <c r="A276" s="4" t="inlineStr">
        <is>
          <t>Sunflower Oil</t>
        </is>
      </c>
      <c r="B276" s="4" t="inlineStr">
        <is>
          <t>9,9 ml</t>
        </is>
      </c>
      <c r="C276" s="4">
        <f>B272*9.9&amp;" ml"</f>
        <v/>
      </c>
      <c r="D276" s="4" t="inlineStr">
        <is>
          <t>Sisa dari ukuran botol setelah essence oil</t>
        </is>
      </c>
    </row>
    <row r="277">
      <c r="A277" s="4" t="inlineStr">
        <is>
          <t>Stiker</t>
        </is>
      </c>
      <c r="B277" s="4" t="inlineStr">
        <is>
          <t>1 stiker</t>
        </is>
      </c>
      <c r="C277" s="4">
        <f>B272&amp;" stiker"</f>
        <v/>
      </c>
      <c r="D277" s="4" t="inlineStr">
        <is>
          <t>1 stiker per botol</t>
        </is>
      </c>
    </row>
    <row r="278">
      <c r="A278" s="4" t="inlineStr">
        <is>
          <t>Pump Botol</t>
        </is>
      </c>
      <c r="B278" s="4" t="inlineStr">
        <is>
          <t>1 pump</t>
        </is>
      </c>
      <c r="C278" s="4">
        <f>B272&amp;" pump"</f>
        <v/>
      </c>
      <c r="D278" s="4" t="inlineStr">
        <is>
          <t>1 pump per botol</t>
        </is>
      </c>
    </row>
    <row r="280">
      <c r="A280" s="1" t="inlineStr">
        <is>
          <t>Produk: JOY001 - 15 ml</t>
        </is>
      </c>
    </row>
    <row r="281">
      <c r="A281" t="inlineStr">
        <is>
          <t>Potensi Hasil Produk (Yield):</t>
        </is>
      </c>
      <c r="B281" s="2" t="n">
        <v>100</v>
      </c>
    </row>
    <row r="282">
      <c r="A282" s="3" t="inlineStr">
        <is>
          <t>Bahan</t>
        </is>
      </c>
      <c r="B282" s="3" t="inlineStr">
        <is>
          <t>Jumlah per Botol (ml/unit)</t>
        </is>
      </c>
      <c r="C282" s="3" t="inlineStr">
        <is>
          <t>Jumlah untuk 100 Botol (ml/unit)</t>
        </is>
      </c>
      <c r="D282" s="3" t="inlineStr">
        <is>
          <t>Keterangan</t>
        </is>
      </c>
    </row>
    <row r="283">
      <c r="A283" s="4" t="inlineStr">
        <is>
          <t>Botol 15 ml</t>
        </is>
      </c>
      <c r="B283" s="4" t="inlineStr">
        <is>
          <t>1 botol (15 ml)</t>
        </is>
      </c>
      <c r="C283" s="4">
        <f>B281&amp;" botol ("&amp;B281*15&amp;" ml)"</f>
        <v/>
      </c>
      <c r="D283" s="4" t="inlineStr">
        <is>
          <t>Botol 15 ml untuk setiap produk</t>
        </is>
      </c>
    </row>
    <row r="284">
      <c r="A284" s="4" t="inlineStr">
        <is>
          <t>Essence Oil</t>
        </is>
      </c>
      <c r="B284" s="4" t="inlineStr">
        <is>
          <t>0,15 ml</t>
        </is>
      </c>
      <c r="C284" s="4">
        <f>B281*0.15&amp;" ml"</f>
        <v/>
      </c>
      <c r="D284" s="4" t="inlineStr">
        <is>
          <t>Diperlukan untuk setiap botol</t>
        </is>
      </c>
    </row>
    <row r="285">
      <c r="A285" s="4" t="inlineStr">
        <is>
          <t>Sunflower Oil</t>
        </is>
      </c>
      <c r="B285" s="4" t="inlineStr">
        <is>
          <t>14,85 ml</t>
        </is>
      </c>
      <c r="C285" s="4">
        <f>B281*14.85&amp;" ml"</f>
        <v/>
      </c>
      <c r="D285" s="4" t="inlineStr">
        <is>
          <t>Sisa dari ukuran botol setelah essence oil</t>
        </is>
      </c>
    </row>
    <row r="286">
      <c r="A286" s="4" t="inlineStr">
        <is>
          <t>Stiker</t>
        </is>
      </c>
      <c r="B286" s="4" t="inlineStr">
        <is>
          <t>1 stiker</t>
        </is>
      </c>
      <c r="C286" s="4">
        <f>B281&amp;" stiker"</f>
        <v/>
      </c>
      <c r="D286" s="4" t="inlineStr">
        <is>
          <t>1 stiker per botol</t>
        </is>
      </c>
    </row>
    <row r="287">
      <c r="A287" s="4" t="inlineStr">
        <is>
          <t>Pump Botol</t>
        </is>
      </c>
      <c r="B287" s="4" t="inlineStr">
        <is>
          <t>1 pump</t>
        </is>
      </c>
      <c r="C287" s="4">
        <f>B281&amp;" pump"</f>
        <v/>
      </c>
      <c r="D287" s="4" t="inlineStr">
        <is>
          <t>1 pump per botol</t>
        </is>
      </c>
    </row>
    <row r="289">
      <c r="A289" s="1" t="inlineStr">
        <is>
          <t>Produk: JOY001 - 30 ml</t>
        </is>
      </c>
    </row>
    <row r="290">
      <c r="A290" t="inlineStr">
        <is>
          <t>Potensi Hasil Produk (Yield):</t>
        </is>
      </c>
      <c r="B290" s="2" t="n">
        <v>75</v>
      </c>
    </row>
    <row r="291">
      <c r="A291" s="3" t="inlineStr">
        <is>
          <t>Bahan</t>
        </is>
      </c>
      <c r="B291" s="3" t="inlineStr">
        <is>
          <t>Jumlah per Botol (ml/unit)</t>
        </is>
      </c>
      <c r="C291" s="3" t="inlineStr">
        <is>
          <t>Jumlah untuk 75 Botol (ml/unit)</t>
        </is>
      </c>
      <c r="D291" s="3" t="inlineStr">
        <is>
          <t>Keterangan</t>
        </is>
      </c>
    </row>
    <row r="292">
      <c r="A292" s="4" t="inlineStr">
        <is>
          <t>Botol 30 ml</t>
        </is>
      </c>
      <c r="B292" s="4" t="inlineStr">
        <is>
          <t>1 botol (30 ml)</t>
        </is>
      </c>
      <c r="C292" s="4">
        <f>B290&amp;" botol ("&amp;B290*30&amp;" ml)"</f>
        <v/>
      </c>
      <c r="D292" s="4" t="inlineStr">
        <is>
          <t>Botol 30 ml untuk setiap produk</t>
        </is>
      </c>
    </row>
    <row r="293">
      <c r="A293" s="4" t="inlineStr">
        <is>
          <t>Essence Oil</t>
        </is>
      </c>
      <c r="B293" s="4" t="inlineStr">
        <is>
          <t>0,2 ml</t>
        </is>
      </c>
      <c r="C293" s="4">
        <f>B290*0.2&amp;" ml"</f>
        <v/>
      </c>
      <c r="D293" s="4" t="inlineStr">
        <is>
          <t>Diperlukan untuk setiap botol</t>
        </is>
      </c>
    </row>
    <row r="294">
      <c r="A294" s="4" t="inlineStr">
        <is>
          <t>Sunflower Oil</t>
        </is>
      </c>
      <c r="B294" s="4" t="inlineStr">
        <is>
          <t>29,8 ml</t>
        </is>
      </c>
      <c r="C294" s="4">
        <f>B290*29.8&amp;" ml"</f>
        <v/>
      </c>
      <c r="D294" s="4" t="inlineStr">
        <is>
          <t>Sisa dari ukuran botol setelah essence oil</t>
        </is>
      </c>
    </row>
    <row r="295">
      <c r="A295" s="4" t="inlineStr">
        <is>
          <t>Stiker</t>
        </is>
      </c>
      <c r="B295" s="4" t="inlineStr">
        <is>
          <t>1 stiker</t>
        </is>
      </c>
      <c r="C295" s="4">
        <f>B290&amp;" stiker"</f>
        <v/>
      </c>
      <c r="D295" s="4" t="inlineStr">
        <is>
          <t>1 stiker per botol</t>
        </is>
      </c>
    </row>
    <row r="296">
      <c r="A296" s="4" t="inlineStr">
        <is>
          <t>Pump Botol</t>
        </is>
      </c>
      <c r="B296" s="4" t="inlineStr">
        <is>
          <t>1 pump</t>
        </is>
      </c>
      <c r="C296" s="4">
        <f>B290&amp;" pump"</f>
        <v/>
      </c>
      <c r="D296" s="4" t="inlineStr">
        <is>
          <t>1 pump per botol</t>
        </is>
      </c>
    </row>
    <row r="298">
      <c r="A298" s="1" t="inlineStr">
        <is>
          <t>Produk: JOY001 - 100 ml</t>
        </is>
      </c>
    </row>
    <row r="299">
      <c r="A299" t="inlineStr">
        <is>
          <t>Potensi Hasil Produk (Yield):</t>
        </is>
      </c>
      <c r="B299" s="2" t="n">
        <v>20</v>
      </c>
    </row>
    <row r="300">
      <c r="A300" s="3" t="inlineStr">
        <is>
          <t>Bahan</t>
        </is>
      </c>
      <c r="B300" s="3" t="inlineStr">
        <is>
          <t>Jumlah per Botol (ml/unit)</t>
        </is>
      </c>
      <c r="C300" s="3" t="inlineStr">
        <is>
          <t>Jumlah untuk 20 Botol (ml/unit)</t>
        </is>
      </c>
      <c r="D300" s="3" t="inlineStr">
        <is>
          <t>Keterangan</t>
        </is>
      </c>
    </row>
    <row r="301">
      <c r="A301" s="4" t="inlineStr">
        <is>
          <t>Botol 100 ml</t>
        </is>
      </c>
      <c r="B301" s="4" t="inlineStr">
        <is>
          <t>1 botol (100 ml)</t>
        </is>
      </c>
      <c r="C301" s="4">
        <f>B299&amp;" botol ("&amp;B299*100&amp;" ml)"</f>
        <v/>
      </c>
      <c r="D301" s="4" t="inlineStr">
        <is>
          <t>Botol 100 ml untuk setiap produk</t>
        </is>
      </c>
    </row>
    <row r="302">
      <c r="A302" s="4" t="inlineStr">
        <is>
          <t>Essence Oil</t>
        </is>
      </c>
      <c r="B302" s="4" t="inlineStr">
        <is>
          <t>0,75 ml</t>
        </is>
      </c>
      <c r="C302" s="4">
        <f>B299*0.75&amp;" ml"</f>
        <v/>
      </c>
      <c r="D302" s="4" t="inlineStr">
        <is>
          <t>Diperlukan untuk setiap botol</t>
        </is>
      </c>
    </row>
    <row r="303">
      <c r="A303" s="4" t="inlineStr">
        <is>
          <t>Sunflower Oil</t>
        </is>
      </c>
      <c r="B303" s="4" t="inlineStr">
        <is>
          <t>99,25 ml</t>
        </is>
      </c>
      <c r="C303" s="4">
        <f>B299*99.25&amp;" ml"</f>
        <v/>
      </c>
      <c r="D303" s="4" t="inlineStr">
        <is>
          <t>Sisa dari ukuran botol setelah essence oil</t>
        </is>
      </c>
    </row>
    <row r="304">
      <c r="A304" s="4" t="inlineStr">
        <is>
          <t>Stiker</t>
        </is>
      </c>
      <c r="B304" s="4" t="inlineStr">
        <is>
          <t>1 stiker</t>
        </is>
      </c>
      <c r="C304" s="4">
        <f>B299&amp;" stiker"</f>
        <v/>
      </c>
      <c r="D304" s="4" t="inlineStr">
        <is>
          <t>1 stiker per botol</t>
        </is>
      </c>
    </row>
    <row r="305">
      <c r="A305" s="4" t="inlineStr">
        <is>
          <t>Pump Botol</t>
        </is>
      </c>
      <c r="B305" s="4" t="inlineStr">
        <is>
          <t>1 pump</t>
        </is>
      </c>
      <c r="C305" s="4">
        <f>B299&amp;" pump"</f>
        <v/>
      </c>
      <c r="D305" s="4" t="inlineStr">
        <is>
          <t>1 pump per botol</t>
        </is>
      </c>
    </row>
    <row r="307">
      <c r="A307" s="1" t="inlineStr">
        <is>
          <t>Produk: JOY001 - 250 ml</t>
        </is>
      </c>
    </row>
    <row r="308">
      <c r="A308" t="inlineStr">
        <is>
          <t>Potensi Hasil Produk (Yield):</t>
        </is>
      </c>
      <c r="B308" s="2" t="n">
        <v>20</v>
      </c>
    </row>
    <row r="309">
      <c r="A309" s="3" t="inlineStr">
        <is>
          <t>Bahan</t>
        </is>
      </c>
      <c r="B309" s="3" t="inlineStr">
        <is>
          <t>Jumlah per Botol (ml/unit)</t>
        </is>
      </c>
      <c r="C309" s="3" t="inlineStr">
        <is>
          <t>Jumlah untuk 20 Botol (ml/unit)</t>
        </is>
      </c>
      <c r="D309" s="3" t="inlineStr">
        <is>
          <t>Keterangan</t>
        </is>
      </c>
    </row>
    <row r="310">
      <c r="A310" s="4" t="inlineStr">
        <is>
          <t>Botol 250 ml</t>
        </is>
      </c>
      <c r="B310" s="4" t="inlineStr">
        <is>
          <t>1 botol (250 ml)</t>
        </is>
      </c>
      <c r="C310" s="4">
        <f>B308&amp;" botol ("&amp;B308*250&amp;" ml)"</f>
        <v/>
      </c>
      <c r="D310" s="4" t="inlineStr">
        <is>
          <t>Botol 250 ml untuk setiap produk</t>
        </is>
      </c>
    </row>
    <row r="311">
      <c r="A311" s="4" t="inlineStr">
        <is>
          <t>Essence Oil</t>
        </is>
      </c>
      <c r="B311" s="4" t="inlineStr">
        <is>
          <t>0,75 ml</t>
        </is>
      </c>
      <c r="C311" s="4">
        <f>B308*0.75&amp;" ml"</f>
        <v/>
      </c>
      <c r="D311" s="4" t="inlineStr">
        <is>
          <t>Diperlukan untuk setiap botol</t>
        </is>
      </c>
    </row>
    <row r="312">
      <c r="A312" s="4" t="inlineStr">
        <is>
          <t>Sunflower Oil</t>
        </is>
      </c>
      <c r="B312" s="4" t="inlineStr">
        <is>
          <t>249,25 ml</t>
        </is>
      </c>
      <c r="C312" s="4">
        <f>B308*249.25&amp;" ml"</f>
        <v/>
      </c>
      <c r="D312" s="4" t="inlineStr">
        <is>
          <t>Sisa dari ukuran botol setelah essence oil</t>
        </is>
      </c>
    </row>
    <row r="313">
      <c r="A313" s="4" t="inlineStr">
        <is>
          <t>Stiker</t>
        </is>
      </c>
      <c r="B313" s="4" t="inlineStr">
        <is>
          <t>1 stiker</t>
        </is>
      </c>
      <c r="C313" s="4">
        <f>B308&amp;" stiker"</f>
        <v/>
      </c>
      <c r="D313" s="4" t="inlineStr">
        <is>
          <t>1 stiker per botol</t>
        </is>
      </c>
    </row>
    <row r="314">
      <c r="A314" s="4" t="inlineStr">
        <is>
          <t>Pump Botol</t>
        </is>
      </c>
      <c r="B314" s="4" t="inlineStr">
        <is>
          <t>1 pump</t>
        </is>
      </c>
      <c r="C314" s="4">
        <f>B308&amp;" pump"</f>
        <v/>
      </c>
      <c r="D314" s="4" t="inlineStr">
        <is>
          <t>1 pump per botol</t>
        </is>
      </c>
    </row>
    <row r="316">
      <c r="A316" s="1" t="inlineStr">
        <is>
          <t>Produk: JOY002 - 10 ml</t>
        </is>
      </c>
    </row>
    <row r="317">
      <c r="A317" t="inlineStr">
        <is>
          <t>Potensi Hasil Produk (Yield):</t>
        </is>
      </c>
      <c r="B317" s="2" t="n">
        <v>150</v>
      </c>
    </row>
    <row r="318">
      <c r="A318" s="3" t="inlineStr">
        <is>
          <t>Bahan</t>
        </is>
      </c>
      <c r="B318" s="3" t="inlineStr">
        <is>
          <t>Jumlah per Botol (ml/unit)</t>
        </is>
      </c>
      <c r="C318" s="3" t="inlineStr">
        <is>
          <t>Jumlah untuk 150 Botol (ml/unit)</t>
        </is>
      </c>
      <c r="D318" s="3" t="inlineStr">
        <is>
          <t>Keterangan</t>
        </is>
      </c>
    </row>
    <row r="319">
      <c r="A319" s="4" t="inlineStr">
        <is>
          <t>Botol 10 ml</t>
        </is>
      </c>
      <c r="B319" s="4" t="inlineStr">
        <is>
          <t>1 botol (10 ml)</t>
        </is>
      </c>
      <c r="C319" s="4">
        <f>B317&amp;" botol ("&amp;B317*10&amp;" ml)"</f>
        <v/>
      </c>
      <c r="D319" s="4" t="inlineStr">
        <is>
          <t>Botol 10 ml untuk setiap produk</t>
        </is>
      </c>
    </row>
    <row r="320">
      <c r="A320" s="4" t="inlineStr">
        <is>
          <t>Essence Oil</t>
        </is>
      </c>
      <c r="B320" s="4" t="inlineStr">
        <is>
          <t>0,1 ml</t>
        </is>
      </c>
      <c r="C320" s="4">
        <f>B317*0.1&amp;" ml"</f>
        <v/>
      </c>
      <c r="D320" s="4" t="inlineStr">
        <is>
          <t>Diperlukan untuk setiap botol</t>
        </is>
      </c>
    </row>
    <row r="321">
      <c r="A321" s="4" t="inlineStr">
        <is>
          <t>Sunflower Oil</t>
        </is>
      </c>
      <c r="B321" s="4" t="inlineStr">
        <is>
          <t>9,9 ml</t>
        </is>
      </c>
      <c r="C321" s="4">
        <f>B317*9.9&amp;" ml"</f>
        <v/>
      </c>
      <c r="D321" s="4" t="inlineStr">
        <is>
          <t>Sisa dari ukuran botol setelah essence oil</t>
        </is>
      </c>
    </row>
    <row r="322">
      <c r="A322" s="4" t="inlineStr">
        <is>
          <t>Stiker</t>
        </is>
      </c>
      <c r="B322" s="4" t="inlineStr">
        <is>
          <t>1 stiker</t>
        </is>
      </c>
      <c r="C322" s="4">
        <f>B317&amp;" stiker"</f>
        <v/>
      </c>
      <c r="D322" s="4" t="inlineStr">
        <is>
          <t>1 stiker per botol</t>
        </is>
      </c>
    </row>
    <row r="323">
      <c r="A323" s="4" t="inlineStr">
        <is>
          <t>Pump Botol</t>
        </is>
      </c>
      <c r="B323" s="4" t="inlineStr">
        <is>
          <t>1 pump</t>
        </is>
      </c>
      <c r="C323" s="4">
        <f>B317&amp;" pump"</f>
        <v/>
      </c>
      <c r="D323" s="4" t="inlineStr">
        <is>
          <t>1 pump per botol</t>
        </is>
      </c>
    </row>
    <row r="325">
      <c r="A325" s="1" t="inlineStr">
        <is>
          <t>Produk: JOY002 - 15 ml</t>
        </is>
      </c>
    </row>
    <row r="326">
      <c r="A326" t="inlineStr">
        <is>
          <t>Potensi Hasil Produk (Yield):</t>
        </is>
      </c>
      <c r="B326" s="2" t="n">
        <v>150</v>
      </c>
    </row>
    <row r="327">
      <c r="A327" s="3" t="inlineStr">
        <is>
          <t>Bahan</t>
        </is>
      </c>
      <c r="B327" s="3" t="inlineStr">
        <is>
          <t>Jumlah per Botol (ml/unit)</t>
        </is>
      </c>
      <c r="C327" s="3" t="inlineStr">
        <is>
          <t>Jumlah untuk 150 Botol (ml/unit)</t>
        </is>
      </c>
      <c r="D327" s="3" t="inlineStr">
        <is>
          <t>Keterangan</t>
        </is>
      </c>
    </row>
    <row r="328">
      <c r="A328" s="4" t="inlineStr">
        <is>
          <t>Botol 15 ml</t>
        </is>
      </c>
      <c r="B328" s="4" t="inlineStr">
        <is>
          <t>1 botol (15 ml)</t>
        </is>
      </c>
      <c r="C328" s="4">
        <f>B326&amp;" botol ("&amp;B326*15&amp;" ml)"</f>
        <v/>
      </c>
      <c r="D328" s="4" t="inlineStr">
        <is>
          <t>Botol 15 ml untuk setiap produk</t>
        </is>
      </c>
    </row>
    <row r="329">
      <c r="A329" s="4" t="inlineStr">
        <is>
          <t>Essence Oil</t>
        </is>
      </c>
      <c r="B329" s="4" t="inlineStr">
        <is>
          <t>0,1 ml</t>
        </is>
      </c>
      <c r="C329" s="4">
        <f>B326*0.1&amp;" ml"</f>
        <v/>
      </c>
      <c r="D329" s="4" t="inlineStr">
        <is>
          <t>Diperlukan untuk setiap botol</t>
        </is>
      </c>
    </row>
    <row r="330">
      <c r="A330" s="4" t="inlineStr">
        <is>
          <t>Sunflower Oil</t>
        </is>
      </c>
      <c r="B330" s="4" t="inlineStr">
        <is>
          <t>14,9 ml</t>
        </is>
      </c>
      <c r="C330" s="4">
        <f>B326*14.9&amp;" ml"</f>
        <v/>
      </c>
      <c r="D330" s="4" t="inlineStr">
        <is>
          <t>Sisa dari ukuran botol setelah essence oil</t>
        </is>
      </c>
    </row>
    <row r="331">
      <c r="A331" s="4" t="inlineStr">
        <is>
          <t>Stiker</t>
        </is>
      </c>
      <c r="B331" s="4" t="inlineStr">
        <is>
          <t>1 stiker</t>
        </is>
      </c>
      <c r="C331" s="4">
        <f>B326&amp;" stiker"</f>
        <v/>
      </c>
      <c r="D331" s="4" t="inlineStr">
        <is>
          <t>1 stiker per botol</t>
        </is>
      </c>
    </row>
    <row r="332">
      <c r="A332" s="4" t="inlineStr">
        <is>
          <t>Pump Botol</t>
        </is>
      </c>
      <c r="B332" s="4" t="inlineStr">
        <is>
          <t>1 pump</t>
        </is>
      </c>
      <c r="C332" s="4">
        <f>B326&amp;" pump"</f>
        <v/>
      </c>
      <c r="D332" s="4" t="inlineStr">
        <is>
          <t>1 pump per botol</t>
        </is>
      </c>
    </row>
    <row r="334">
      <c r="A334" s="1" t="inlineStr">
        <is>
          <t>Produk: JOY002 - 30 ml</t>
        </is>
      </c>
    </row>
    <row r="335">
      <c r="A335" t="inlineStr">
        <is>
          <t>Potensi Hasil Produk (Yield):</t>
        </is>
      </c>
      <c r="B335" s="2" t="n">
        <v>100</v>
      </c>
    </row>
    <row r="336">
      <c r="A336" s="3" t="inlineStr">
        <is>
          <t>Bahan</t>
        </is>
      </c>
      <c r="B336" s="3" t="inlineStr">
        <is>
          <t>Jumlah per Botol (ml/unit)</t>
        </is>
      </c>
      <c r="C336" s="3" t="inlineStr">
        <is>
          <t>Jumlah untuk 100 Botol (ml/unit)</t>
        </is>
      </c>
      <c r="D336" s="3" t="inlineStr">
        <is>
          <t>Keterangan</t>
        </is>
      </c>
    </row>
    <row r="337">
      <c r="A337" s="4" t="inlineStr">
        <is>
          <t>Botol 30 ml</t>
        </is>
      </c>
      <c r="B337" s="4" t="inlineStr">
        <is>
          <t>1 botol (30 ml)</t>
        </is>
      </c>
      <c r="C337" s="4">
        <f>B335&amp;" botol ("&amp;B335*30&amp;" ml)"</f>
        <v/>
      </c>
      <c r="D337" s="4" t="inlineStr">
        <is>
          <t>Botol 30 ml untuk setiap produk</t>
        </is>
      </c>
    </row>
    <row r="338">
      <c r="A338" s="4" t="inlineStr">
        <is>
          <t>Essence Oil</t>
        </is>
      </c>
      <c r="B338" s="4" t="inlineStr">
        <is>
          <t>0,15 ml</t>
        </is>
      </c>
      <c r="C338" s="4">
        <f>B335*0.15&amp;" ml"</f>
        <v/>
      </c>
      <c r="D338" s="4" t="inlineStr">
        <is>
          <t>Diperlukan untuk setiap botol</t>
        </is>
      </c>
    </row>
    <row r="339">
      <c r="A339" s="4" t="inlineStr">
        <is>
          <t>Sunflower Oil</t>
        </is>
      </c>
      <c r="B339" s="4" t="inlineStr">
        <is>
          <t>29,85 ml</t>
        </is>
      </c>
      <c r="C339" s="4">
        <f>B335*29.85&amp;" ml"</f>
        <v/>
      </c>
      <c r="D339" s="4" t="inlineStr">
        <is>
          <t>Sisa dari ukuran botol setelah essence oil</t>
        </is>
      </c>
    </row>
    <row r="340">
      <c r="A340" s="4" t="inlineStr">
        <is>
          <t>Stiker</t>
        </is>
      </c>
      <c r="B340" s="4" t="inlineStr">
        <is>
          <t>1 stiker</t>
        </is>
      </c>
      <c r="C340" s="4">
        <f>B335&amp;" stiker"</f>
        <v/>
      </c>
      <c r="D340" s="4" t="inlineStr">
        <is>
          <t>1 stiker per botol</t>
        </is>
      </c>
    </row>
    <row r="341">
      <c r="A341" s="4" t="inlineStr">
        <is>
          <t>Pump Botol</t>
        </is>
      </c>
      <c r="B341" s="4" t="inlineStr">
        <is>
          <t>1 pump</t>
        </is>
      </c>
      <c r="C341" s="4">
        <f>B335&amp;" pump"</f>
        <v/>
      </c>
      <c r="D341" s="4" t="inlineStr">
        <is>
          <t>1 pump per botol</t>
        </is>
      </c>
    </row>
    <row r="343">
      <c r="A343" s="1" t="inlineStr">
        <is>
          <t>Produk: JOY002 - 100 ml</t>
        </is>
      </c>
    </row>
    <row r="344">
      <c r="A344" t="inlineStr">
        <is>
          <t>Potensi Hasil Produk (Yield):</t>
        </is>
      </c>
      <c r="B344" s="2" t="n">
        <v>30</v>
      </c>
    </row>
    <row r="345">
      <c r="A345" s="3" t="inlineStr">
        <is>
          <t>Bahan</t>
        </is>
      </c>
      <c r="B345" s="3" t="inlineStr">
        <is>
          <t>Jumlah per Botol (ml/unit)</t>
        </is>
      </c>
      <c r="C345" s="3" t="inlineStr">
        <is>
          <t>Jumlah untuk 30 Botol (ml/unit)</t>
        </is>
      </c>
      <c r="D345" s="3" t="inlineStr">
        <is>
          <t>Keterangan</t>
        </is>
      </c>
    </row>
    <row r="346">
      <c r="A346" s="4" t="inlineStr">
        <is>
          <t>Botol 100 ml</t>
        </is>
      </c>
      <c r="B346" s="4" t="inlineStr">
        <is>
          <t>1 botol (100 ml)</t>
        </is>
      </c>
      <c r="C346" s="4">
        <f>B344&amp;" botol ("&amp;B344*100&amp;" ml)"</f>
        <v/>
      </c>
      <c r="D346" s="4" t="inlineStr">
        <is>
          <t>Botol 100 ml untuk setiap produk</t>
        </is>
      </c>
    </row>
    <row r="347">
      <c r="A347" s="4" t="inlineStr">
        <is>
          <t>Essence Oil</t>
        </is>
      </c>
      <c r="B347" s="4" t="inlineStr">
        <is>
          <t>0,5 ml</t>
        </is>
      </c>
      <c r="C347" s="4">
        <f>B344*0.5&amp;" ml"</f>
        <v/>
      </c>
      <c r="D347" s="4" t="inlineStr">
        <is>
          <t>Diperlukan untuk setiap botol</t>
        </is>
      </c>
    </row>
    <row r="348">
      <c r="A348" s="4" t="inlineStr">
        <is>
          <t>Sunflower Oil</t>
        </is>
      </c>
      <c r="B348" s="4" t="inlineStr">
        <is>
          <t>99,5 ml</t>
        </is>
      </c>
      <c r="C348" s="4">
        <f>B344*99.5&amp;" ml"</f>
        <v/>
      </c>
      <c r="D348" s="4" t="inlineStr">
        <is>
          <t>Sisa dari ukuran botol setelah essence oil</t>
        </is>
      </c>
    </row>
    <row r="349">
      <c r="A349" s="4" t="inlineStr">
        <is>
          <t>Stiker</t>
        </is>
      </c>
      <c r="B349" s="4" t="inlineStr">
        <is>
          <t>1 stiker</t>
        </is>
      </c>
      <c r="C349" s="4">
        <f>B344&amp;" stiker"</f>
        <v/>
      </c>
      <c r="D349" s="4" t="inlineStr">
        <is>
          <t>1 stiker per botol</t>
        </is>
      </c>
    </row>
    <row r="350">
      <c r="A350" s="4" t="inlineStr">
        <is>
          <t>Pump Botol</t>
        </is>
      </c>
      <c r="B350" s="4" t="inlineStr">
        <is>
          <t>1 pump</t>
        </is>
      </c>
      <c r="C350" s="4">
        <f>B344&amp;" pump"</f>
        <v/>
      </c>
      <c r="D350" s="4" t="inlineStr">
        <is>
          <t>1 pump per botol</t>
        </is>
      </c>
    </row>
    <row r="352">
      <c r="A352" s="1" t="inlineStr">
        <is>
          <t>Produk: JOY002 - 250 ml</t>
        </is>
      </c>
    </row>
    <row r="353">
      <c r="A353" t="inlineStr">
        <is>
          <t>Potensi Hasil Produk (Yield):</t>
        </is>
      </c>
      <c r="B353" s="2" t="n">
        <v>30</v>
      </c>
    </row>
    <row r="354">
      <c r="A354" s="3" t="inlineStr">
        <is>
          <t>Bahan</t>
        </is>
      </c>
      <c r="B354" s="3" t="inlineStr">
        <is>
          <t>Jumlah per Botol (ml/unit)</t>
        </is>
      </c>
      <c r="C354" s="3" t="inlineStr">
        <is>
          <t>Jumlah untuk 30 Botol (ml/unit)</t>
        </is>
      </c>
      <c r="D354" s="3" t="inlineStr">
        <is>
          <t>Keterangan</t>
        </is>
      </c>
    </row>
    <row r="355">
      <c r="A355" s="4" t="inlineStr">
        <is>
          <t>Botol 250 ml</t>
        </is>
      </c>
      <c r="B355" s="4" t="inlineStr">
        <is>
          <t>1 botol (250 ml)</t>
        </is>
      </c>
      <c r="C355" s="4">
        <f>B353&amp;" botol ("&amp;B353*250&amp;" ml)"</f>
        <v/>
      </c>
      <c r="D355" s="4" t="inlineStr">
        <is>
          <t>Botol 250 ml untuk setiap produk</t>
        </is>
      </c>
    </row>
    <row r="356">
      <c r="A356" s="4" t="inlineStr">
        <is>
          <t>Essence Oil</t>
        </is>
      </c>
      <c r="B356" s="4" t="inlineStr">
        <is>
          <t>0,5 ml</t>
        </is>
      </c>
      <c r="C356" s="4">
        <f>B353*0.5&amp;" ml"</f>
        <v/>
      </c>
      <c r="D356" s="4" t="inlineStr">
        <is>
          <t>Diperlukan untuk setiap botol</t>
        </is>
      </c>
    </row>
    <row r="357">
      <c r="A357" s="4" t="inlineStr">
        <is>
          <t>Sunflower Oil</t>
        </is>
      </c>
      <c r="B357" s="4" t="inlineStr">
        <is>
          <t>249,5 ml</t>
        </is>
      </c>
      <c r="C357" s="4">
        <f>B353*249.5&amp;" ml"</f>
        <v/>
      </c>
      <c r="D357" s="4" t="inlineStr">
        <is>
          <t>Sisa dari ukuran botol setelah essence oil</t>
        </is>
      </c>
    </row>
    <row r="358">
      <c r="A358" s="4" t="inlineStr">
        <is>
          <t>Stiker</t>
        </is>
      </c>
      <c r="B358" s="4" t="inlineStr">
        <is>
          <t>1 stiker</t>
        </is>
      </c>
      <c r="C358" s="4">
        <f>B353&amp;" stiker"</f>
        <v/>
      </c>
      <c r="D358" s="4" t="inlineStr">
        <is>
          <t>1 stiker per botol</t>
        </is>
      </c>
    </row>
    <row r="359">
      <c r="A359" s="4" t="inlineStr">
        <is>
          <t>Pump Botol</t>
        </is>
      </c>
      <c r="B359" s="4" t="inlineStr">
        <is>
          <t>1 pump</t>
        </is>
      </c>
      <c r="C359" s="4">
        <f>B353&amp;" pump"</f>
        <v/>
      </c>
      <c r="D359" s="4" t="inlineStr">
        <is>
          <t>1 pump per botol</t>
        </is>
      </c>
    </row>
    <row r="361">
      <c r="A361" s="1" t="inlineStr">
        <is>
          <t>Produk: DS002 - 10 ml</t>
        </is>
      </c>
    </row>
    <row r="362">
      <c r="A362" t="inlineStr">
        <is>
          <t>Potensi Hasil Produk (Yield):</t>
        </is>
      </c>
      <c r="B362" s="2" t="n">
        <v>50</v>
      </c>
    </row>
    <row r="363">
      <c r="A363" s="3" t="inlineStr">
        <is>
          <t>Bahan</t>
        </is>
      </c>
      <c r="B363" s="3" t="inlineStr">
        <is>
          <t>Jumlah per Botol (ml/unit)</t>
        </is>
      </c>
      <c r="C363" s="3" t="inlineStr">
        <is>
          <t>Jumlah untuk 50 Botol (ml/unit)</t>
        </is>
      </c>
      <c r="D363" s="3" t="inlineStr">
        <is>
          <t>Keterangan</t>
        </is>
      </c>
    </row>
    <row r="364">
      <c r="A364" s="4" t="inlineStr">
        <is>
          <t>Botol 10 ml</t>
        </is>
      </c>
      <c r="B364" s="4" t="inlineStr">
        <is>
          <t>1 botol (10 ml)</t>
        </is>
      </c>
      <c r="C364" s="4">
        <f>B362&amp;" botol ("&amp;B362*10&amp;" ml)"</f>
        <v/>
      </c>
      <c r="D364" s="4" t="inlineStr">
        <is>
          <t>Botol 10 ml untuk setiap produk</t>
        </is>
      </c>
    </row>
    <row r="365">
      <c r="A365" s="4" t="inlineStr">
        <is>
          <t>Essence Oil</t>
        </is>
      </c>
      <c r="B365" s="4" t="inlineStr">
        <is>
          <t>0,1 ml</t>
        </is>
      </c>
      <c r="C365" s="4">
        <f>B362*0.1&amp;" ml"</f>
        <v/>
      </c>
      <c r="D365" s="4" t="inlineStr">
        <is>
          <t>Diperlukan untuk setiap botol</t>
        </is>
      </c>
    </row>
    <row r="366">
      <c r="A366" s="4" t="inlineStr">
        <is>
          <t>Sunflower Oil</t>
        </is>
      </c>
      <c r="B366" s="4" t="inlineStr">
        <is>
          <t>9,9 ml</t>
        </is>
      </c>
      <c r="C366" s="4">
        <f>B362*9.9&amp;" ml"</f>
        <v/>
      </c>
      <c r="D366" s="4" t="inlineStr">
        <is>
          <t>Sisa dari ukuran botol setelah essence oil</t>
        </is>
      </c>
    </row>
    <row r="367">
      <c r="A367" s="4" t="inlineStr">
        <is>
          <t>Stiker</t>
        </is>
      </c>
      <c r="B367" s="4" t="inlineStr">
        <is>
          <t>1 stiker</t>
        </is>
      </c>
      <c r="C367" s="4">
        <f>B362&amp;" stiker"</f>
        <v/>
      </c>
      <c r="D367" s="4" t="inlineStr">
        <is>
          <t>1 stiker per botol</t>
        </is>
      </c>
    </row>
    <row r="368">
      <c r="A368" s="4" t="inlineStr">
        <is>
          <t>Pump Botol</t>
        </is>
      </c>
      <c r="B368" s="4" t="inlineStr">
        <is>
          <t>1 pump</t>
        </is>
      </c>
      <c r="C368" s="4">
        <f>B362&amp;" pump"</f>
        <v/>
      </c>
      <c r="D368" s="4" t="inlineStr">
        <is>
          <t>1 pump per botol</t>
        </is>
      </c>
    </row>
    <row r="370">
      <c r="A370" s="1" t="inlineStr">
        <is>
          <t>Produk: DS002 - 15 ml</t>
        </is>
      </c>
    </row>
    <row r="371">
      <c r="A371" t="inlineStr">
        <is>
          <t>Potensi Hasil Produk (Yield):</t>
        </is>
      </c>
      <c r="B371" s="2" t="n">
        <v>50</v>
      </c>
    </row>
    <row r="372">
      <c r="A372" s="3" t="inlineStr">
        <is>
          <t>Bahan</t>
        </is>
      </c>
      <c r="B372" s="3" t="inlineStr">
        <is>
          <t>Jumlah per Botol (ml/unit)</t>
        </is>
      </c>
      <c r="C372" s="3" t="inlineStr">
        <is>
          <t>Jumlah untuk 50 Botol (ml/unit)</t>
        </is>
      </c>
      <c r="D372" s="3" t="inlineStr">
        <is>
          <t>Keterangan</t>
        </is>
      </c>
    </row>
    <row r="373">
      <c r="A373" s="4" t="inlineStr">
        <is>
          <t>Botol 15 ml</t>
        </is>
      </c>
      <c r="B373" s="4" t="inlineStr">
        <is>
          <t>1 botol (15 ml)</t>
        </is>
      </c>
      <c r="C373" s="4">
        <f>B371&amp;" botol ("&amp;B371*15&amp;" ml)"</f>
        <v/>
      </c>
      <c r="D373" s="4" t="inlineStr">
        <is>
          <t>Botol 15 ml untuk setiap produk</t>
        </is>
      </c>
    </row>
    <row r="374">
      <c r="A374" s="4" t="inlineStr">
        <is>
          <t>Essence Oil</t>
        </is>
      </c>
      <c r="B374" s="4" t="inlineStr">
        <is>
          <t>0,1 ml</t>
        </is>
      </c>
      <c r="C374" s="4">
        <f>B371*0.1&amp;" ml"</f>
        <v/>
      </c>
      <c r="D374" s="4" t="inlineStr">
        <is>
          <t>Diperlukan untuk setiap botol</t>
        </is>
      </c>
    </row>
    <row r="375">
      <c r="A375" s="4" t="inlineStr">
        <is>
          <t>Sunflower Oil</t>
        </is>
      </c>
      <c r="B375" s="4" t="inlineStr">
        <is>
          <t>14,9 ml</t>
        </is>
      </c>
      <c r="C375" s="4">
        <f>B371*14.9&amp;" ml"</f>
        <v/>
      </c>
      <c r="D375" s="4" t="inlineStr">
        <is>
          <t>Sisa dari ukuran botol setelah essence oil</t>
        </is>
      </c>
    </row>
    <row r="376">
      <c r="A376" s="4" t="inlineStr">
        <is>
          <t>Stiker</t>
        </is>
      </c>
      <c r="B376" s="4" t="inlineStr">
        <is>
          <t>1 stiker</t>
        </is>
      </c>
      <c r="C376" s="4">
        <f>B371&amp;" stiker"</f>
        <v/>
      </c>
      <c r="D376" s="4" t="inlineStr">
        <is>
          <t>1 stiker per botol</t>
        </is>
      </c>
    </row>
    <row r="377">
      <c r="A377" s="4" t="inlineStr">
        <is>
          <t>Pump Botol</t>
        </is>
      </c>
      <c r="B377" s="4" t="inlineStr">
        <is>
          <t>1 pump</t>
        </is>
      </c>
      <c r="C377" s="4">
        <f>B371&amp;" pump"</f>
        <v/>
      </c>
      <c r="D377" s="4" t="inlineStr">
        <is>
          <t>1 pump per botol</t>
        </is>
      </c>
    </row>
    <row r="379">
      <c r="A379" s="1" t="inlineStr">
        <is>
          <t>Produk: DS002 - 30 ml</t>
        </is>
      </c>
    </row>
    <row r="380">
      <c r="A380" t="inlineStr">
        <is>
          <t>Potensi Hasil Produk (Yield):</t>
        </is>
      </c>
      <c r="B380" s="2" t="n">
        <v>33</v>
      </c>
    </row>
    <row r="381">
      <c r="A381" s="3" t="inlineStr">
        <is>
          <t>Bahan</t>
        </is>
      </c>
      <c r="B381" s="3" t="inlineStr">
        <is>
          <t>Jumlah per Botol (ml/unit)</t>
        </is>
      </c>
      <c r="C381" s="3" t="inlineStr">
        <is>
          <t>Jumlah untuk 33 Botol (ml/unit)</t>
        </is>
      </c>
      <c r="D381" s="3" t="inlineStr">
        <is>
          <t>Keterangan</t>
        </is>
      </c>
    </row>
    <row r="382">
      <c r="A382" s="4" t="inlineStr">
        <is>
          <t>Botol 30 ml</t>
        </is>
      </c>
      <c r="B382" s="4" t="inlineStr">
        <is>
          <t>1 botol (30 ml)</t>
        </is>
      </c>
      <c r="C382" s="4">
        <f>B380&amp;" botol ("&amp;B380*30&amp;" ml)"</f>
        <v/>
      </c>
      <c r="D382" s="4" t="inlineStr">
        <is>
          <t>Botol 30 ml untuk setiap produk</t>
        </is>
      </c>
    </row>
    <row r="383">
      <c r="A383" s="4" t="inlineStr">
        <is>
          <t>Essence Oil</t>
        </is>
      </c>
      <c r="B383" s="4" t="inlineStr">
        <is>
          <t>0,15 ml</t>
        </is>
      </c>
      <c r="C383" s="4">
        <f>B380*0.15&amp;" ml"</f>
        <v/>
      </c>
      <c r="D383" s="4" t="inlineStr">
        <is>
          <t>Diperlukan untuk setiap botol</t>
        </is>
      </c>
    </row>
    <row r="384">
      <c r="A384" s="4" t="inlineStr">
        <is>
          <t>Sunflower Oil</t>
        </is>
      </c>
      <c r="B384" s="4" t="inlineStr">
        <is>
          <t>29,85 ml</t>
        </is>
      </c>
      <c r="C384" s="4">
        <f>B380*29.85&amp;" ml"</f>
        <v/>
      </c>
      <c r="D384" s="4" t="inlineStr">
        <is>
          <t>Sisa dari ukuran botol setelah essence oil</t>
        </is>
      </c>
    </row>
    <row r="385">
      <c r="A385" s="4" t="inlineStr">
        <is>
          <t>Stiker</t>
        </is>
      </c>
      <c r="B385" s="4" t="inlineStr">
        <is>
          <t>1 stiker</t>
        </is>
      </c>
      <c r="C385" s="4">
        <f>B380&amp;" stiker"</f>
        <v/>
      </c>
      <c r="D385" s="4" t="inlineStr">
        <is>
          <t>1 stiker per botol</t>
        </is>
      </c>
    </row>
    <row r="386">
      <c r="A386" s="4" t="inlineStr">
        <is>
          <t>Pump Botol</t>
        </is>
      </c>
      <c r="B386" s="4" t="inlineStr">
        <is>
          <t>1 pump</t>
        </is>
      </c>
      <c r="C386" s="4">
        <f>B380&amp;" pump"</f>
        <v/>
      </c>
      <c r="D386" s="4" t="inlineStr">
        <is>
          <t>1 pump per botol</t>
        </is>
      </c>
    </row>
    <row r="388">
      <c r="A388" s="1" t="inlineStr">
        <is>
          <t>Produk: DS002 - 100 ml</t>
        </is>
      </c>
    </row>
    <row r="389">
      <c r="A389" t="inlineStr">
        <is>
          <t>Potensi Hasil Produk (Yield):</t>
        </is>
      </c>
      <c r="B389" s="2" t="n">
        <v>20</v>
      </c>
    </row>
    <row r="390">
      <c r="A390" s="3" t="inlineStr">
        <is>
          <t>Bahan</t>
        </is>
      </c>
      <c r="B390" s="3" t="inlineStr">
        <is>
          <t>Jumlah per Botol (ml/unit)</t>
        </is>
      </c>
      <c r="C390" s="3" t="inlineStr">
        <is>
          <t>Jumlah untuk 20 Botol (ml/unit)</t>
        </is>
      </c>
      <c r="D390" s="3" t="inlineStr">
        <is>
          <t>Keterangan</t>
        </is>
      </c>
    </row>
    <row r="391">
      <c r="A391" s="4" t="inlineStr">
        <is>
          <t>Botol 100 ml</t>
        </is>
      </c>
      <c r="B391" s="4" t="inlineStr">
        <is>
          <t>1 botol (100 ml)</t>
        </is>
      </c>
      <c r="C391" s="4">
        <f>B389&amp;" botol ("&amp;B389*100&amp;" ml)"</f>
        <v/>
      </c>
      <c r="D391" s="4" t="inlineStr">
        <is>
          <t>Botol 100 ml untuk setiap produk</t>
        </is>
      </c>
    </row>
    <row r="392">
      <c r="A392" s="4" t="inlineStr">
        <is>
          <t>Essence Oil</t>
        </is>
      </c>
      <c r="B392" s="4" t="inlineStr">
        <is>
          <t>0,25 ml</t>
        </is>
      </c>
      <c r="C392" s="4">
        <f>B389*0.25&amp;" ml"</f>
        <v/>
      </c>
      <c r="D392" s="4" t="inlineStr">
        <is>
          <t>Diperlukan untuk setiap botol</t>
        </is>
      </c>
    </row>
    <row r="393">
      <c r="A393" s="4" t="inlineStr">
        <is>
          <t>Sunflower Oil</t>
        </is>
      </c>
      <c r="B393" s="4" t="inlineStr">
        <is>
          <t>99,75 ml</t>
        </is>
      </c>
      <c r="C393" s="4">
        <f>B389*99.75&amp;" ml"</f>
        <v/>
      </c>
      <c r="D393" s="4" t="inlineStr">
        <is>
          <t>Sisa dari ukuran botol setelah essence oil</t>
        </is>
      </c>
    </row>
    <row r="394">
      <c r="A394" s="4" t="inlineStr">
        <is>
          <t>Stiker</t>
        </is>
      </c>
      <c r="B394" s="4" t="inlineStr">
        <is>
          <t>1 stiker</t>
        </is>
      </c>
      <c r="C394" s="4">
        <f>B389&amp;" stiker"</f>
        <v/>
      </c>
      <c r="D394" s="4" t="inlineStr">
        <is>
          <t>1 stiker per botol</t>
        </is>
      </c>
    </row>
    <row r="395">
      <c r="A395" s="4" t="inlineStr">
        <is>
          <t>Pump Botol</t>
        </is>
      </c>
      <c r="B395" s="4" t="inlineStr">
        <is>
          <t>1 pump</t>
        </is>
      </c>
      <c r="C395" s="4">
        <f>B389&amp;" pump"</f>
        <v/>
      </c>
      <c r="D395" s="4" t="inlineStr">
        <is>
          <t>1 pump per botol</t>
        </is>
      </c>
    </row>
    <row r="397">
      <c r="A397" s="1" t="inlineStr">
        <is>
          <t>Produk: DS002 - 250 ml</t>
        </is>
      </c>
    </row>
    <row r="398">
      <c r="A398" t="inlineStr">
        <is>
          <t>Potensi Hasil Produk (Yield):</t>
        </is>
      </c>
      <c r="B398" s="2" t="n">
        <v>20</v>
      </c>
    </row>
    <row r="399">
      <c r="A399" s="3" t="inlineStr">
        <is>
          <t>Bahan</t>
        </is>
      </c>
      <c r="B399" s="3" t="inlineStr">
        <is>
          <t>Jumlah per Botol (ml/unit)</t>
        </is>
      </c>
      <c r="C399" s="3" t="inlineStr">
        <is>
          <t>Jumlah untuk 20 Botol (ml/unit)</t>
        </is>
      </c>
      <c r="D399" s="3" t="inlineStr">
        <is>
          <t>Keterangan</t>
        </is>
      </c>
    </row>
    <row r="400">
      <c r="A400" s="4" t="inlineStr">
        <is>
          <t>Botol 250 ml</t>
        </is>
      </c>
      <c r="B400" s="4" t="inlineStr">
        <is>
          <t>1 botol (250 ml)</t>
        </is>
      </c>
      <c r="C400" s="4">
        <f>B398&amp;" botol ("&amp;B398*250&amp;" ml)"</f>
        <v/>
      </c>
      <c r="D400" s="4" t="inlineStr">
        <is>
          <t>Botol 250 ml untuk setiap produk</t>
        </is>
      </c>
    </row>
    <row r="401">
      <c r="A401" s="4" t="inlineStr">
        <is>
          <t>Essence Oil</t>
        </is>
      </c>
      <c r="B401" s="4" t="inlineStr">
        <is>
          <t>0,25 ml</t>
        </is>
      </c>
      <c r="C401" s="4">
        <f>B398*0.25&amp;" ml"</f>
        <v/>
      </c>
      <c r="D401" s="4" t="inlineStr">
        <is>
          <t>Diperlukan untuk setiap botol</t>
        </is>
      </c>
    </row>
    <row r="402">
      <c r="A402" s="4" t="inlineStr">
        <is>
          <t>Sunflower Oil</t>
        </is>
      </c>
      <c r="B402" s="4" t="inlineStr">
        <is>
          <t>249,75 ml</t>
        </is>
      </c>
      <c r="C402" s="4">
        <f>B398*249.75&amp;" ml"</f>
        <v/>
      </c>
      <c r="D402" s="4" t="inlineStr">
        <is>
          <t>Sisa dari ukuran botol setelah essence oil</t>
        </is>
      </c>
    </row>
    <row r="403">
      <c r="A403" s="4" t="inlineStr">
        <is>
          <t>Stiker</t>
        </is>
      </c>
      <c r="B403" s="4" t="inlineStr">
        <is>
          <t>1 stiker</t>
        </is>
      </c>
      <c r="C403" s="4">
        <f>B398&amp;" stiker"</f>
        <v/>
      </c>
      <c r="D403" s="4" t="inlineStr">
        <is>
          <t>1 stiker per botol</t>
        </is>
      </c>
    </row>
    <row r="404">
      <c r="A404" s="4" t="inlineStr">
        <is>
          <t>Pump Botol</t>
        </is>
      </c>
      <c r="B404" s="4" t="inlineStr">
        <is>
          <t>1 pump</t>
        </is>
      </c>
      <c r="C404" s="4">
        <f>B398&amp;" pump"</f>
        <v/>
      </c>
      <c r="D404" s="4" t="inlineStr">
        <is>
          <t>1 pump per botol</t>
        </is>
      </c>
    </row>
    <row r="406">
      <c r="A406" s="1" t="inlineStr">
        <is>
          <t>Produk: IM002 - 10 ml</t>
        </is>
      </c>
    </row>
    <row r="407">
      <c r="A407" t="inlineStr">
        <is>
          <t>Potensi Hasil Produk (Yield):</t>
        </is>
      </c>
      <c r="B407" s="2" t="n">
        <v>150</v>
      </c>
    </row>
    <row r="408">
      <c r="A408" s="3" t="inlineStr">
        <is>
          <t>Bahan</t>
        </is>
      </c>
      <c r="B408" s="3" t="inlineStr">
        <is>
          <t>Jumlah per Botol (ml/unit)</t>
        </is>
      </c>
      <c r="C408" s="3" t="inlineStr">
        <is>
          <t>Jumlah untuk 150 Botol (ml/unit)</t>
        </is>
      </c>
      <c r="D408" s="3" t="inlineStr">
        <is>
          <t>Keterangan</t>
        </is>
      </c>
    </row>
    <row r="409">
      <c r="A409" s="4" t="inlineStr">
        <is>
          <t>Botol 10 ml</t>
        </is>
      </c>
      <c r="B409" s="4" t="inlineStr">
        <is>
          <t>1 botol (10 ml)</t>
        </is>
      </c>
      <c r="C409" s="4">
        <f>B407&amp;" botol ("&amp;B407*10&amp;" ml)"</f>
        <v/>
      </c>
      <c r="D409" s="4" t="inlineStr">
        <is>
          <t>Botol 10 ml untuk setiap produk</t>
        </is>
      </c>
    </row>
    <row r="410">
      <c r="A410" s="4" t="inlineStr">
        <is>
          <t>Essence Oil</t>
        </is>
      </c>
      <c r="B410" s="4" t="inlineStr">
        <is>
          <t>0,1 ml</t>
        </is>
      </c>
      <c r="C410" s="4">
        <f>B407*0.1&amp;" ml"</f>
        <v/>
      </c>
      <c r="D410" s="4" t="inlineStr">
        <is>
          <t>Diperlukan untuk setiap botol</t>
        </is>
      </c>
    </row>
    <row r="411">
      <c r="A411" s="4" t="inlineStr">
        <is>
          <t>Sunflower Oil</t>
        </is>
      </c>
      <c r="B411" s="4" t="inlineStr">
        <is>
          <t>9,9 ml</t>
        </is>
      </c>
      <c r="C411" s="4">
        <f>B407*9.9&amp;" ml"</f>
        <v/>
      </c>
      <c r="D411" s="4" t="inlineStr">
        <is>
          <t>Sisa dari ukuran botol setelah essence oil</t>
        </is>
      </c>
    </row>
    <row r="412">
      <c r="A412" s="4" t="inlineStr">
        <is>
          <t>Stiker</t>
        </is>
      </c>
      <c r="B412" s="4" t="inlineStr">
        <is>
          <t>1 stiker</t>
        </is>
      </c>
      <c r="C412" s="4">
        <f>B407&amp;" stiker"</f>
        <v/>
      </c>
      <c r="D412" s="4" t="inlineStr">
        <is>
          <t>1 stiker per botol</t>
        </is>
      </c>
    </row>
    <row r="413">
      <c r="A413" s="4" t="inlineStr">
        <is>
          <t>Pump Botol</t>
        </is>
      </c>
      <c r="B413" s="4" t="inlineStr">
        <is>
          <t>1 pump</t>
        </is>
      </c>
      <c r="C413" s="4">
        <f>B407&amp;" pump"</f>
        <v/>
      </c>
      <c r="D413" s="4" t="inlineStr">
        <is>
          <t>1 pump per botol</t>
        </is>
      </c>
    </row>
    <row r="415">
      <c r="A415" s="1" t="inlineStr">
        <is>
          <t>Produk: IM002 - 15 ml</t>
        </is>
      </c>
    </row>
    <row r="416">
      <c r="A416" t="inlineStr">
        <is>
          <t>Potensi Hasil Produk (Yield):</t>
        </is>
      </c>
      <c r="B416" s="2" t="n">
        <v>150</v>
      </c>
    </row>
    <row r="417">
      <c r="A417" s="3" t="inlineStr">
        <is>
          <t>Bahan</t>
        </is>
      </c>
      <c r="B417" s="3" t="inlineStr">
        <is>
          <t>Jumlah per Botol (ml/unit)</t>
        </is>
      </c>
      <c r="C417" s="3" t="inlineStr">
        <is>
          <t>Jumlah untuk 150 Botol (ml/unit)</t>
        </is>
      </c>
      <c r="D417" s="3" t="inlineStr">
        <is>
          <t>Keterangan</t>
        </is>
      </c>
    </row>
    <row r="418">
      <c r="A418" s="4" t="inlineStr">
        <is>
          <t>Botol 15 ml</t>
        </is>
      </c>
      <c r="B418" s="4" t="inlineStr">
        <is>
          <t>1 botol (15 ml)</t>
        </is>
      </c>
      <c r="C418" s="4">
        <f>B416&amp;" botol ("&amp;B416*15&amp;" ml)"</f>
        <v/>
      </c>
      <c r="D418" s="4" t="inlineStr">
        <is>
          <t>Botol 15 ml untuk setiap produk</t>
        </is>
      </c>
    </row>
    <row r="419">
      <c r="A419" s="4" t="inlineStr">
        <is>
          <t>Essence Oil</t>
        </is>
      </c>
      <c r="B419" s="4" t="inlineStr">
        <is>
          <t>0,1 ml</t>
        </is>
      </c>
      <c r="C419" s="4">
        <f>B416*0.1&amp;" ml"</f>
        <v/>
      </c>
      <c r="D419" s="4" t="inlineStr">
        <is>
          <t>Diperlukan untuk setiap botol</t>
        </is>
      </c>
    </row>
    <row r="420">
      <c r="A420" s="4" t="inlineStr">
        <is>
          <t>Sunflower Oil</t>
        </is>
      </c>
      <c r="B420" s="4" t="inlineStr">
        <is>
          <t>14,9 ml</t>
        </is>
      </c>
      <c r="C420" s="4">
        <f>B416*14.9&amp;" ml"</f>
        <v/>
      </c>
      <c r="D420" s="4" t="inlineStr">
        <is>
          <t>Sisa dari ukuran botol setelah essence oil</t>
        </is>
      </c>
    </row>
    <row r="421">
      <c r="A421" s="4" t="inlineStr">
        <is>
          <t>Stiker</t>
        </is>
      </c>
      <c r="B421" s="4" t="inlineStr">
        <is>
          <t>1 stiker</t>
        </is>
      </c>
      <c r="C421" s="4">
        <f>B416&amp;" stiker"</f>
        <v/>
      </c>
      <c r="D421" s="4" t="inlineStr">
        <is>
          <t>1 stiker per botol</t>
        </is>
      </c>
    </row>
    <row r="422">
      <c r="A422" s="4" t="inlineStr">
        <is>
          <t>Pump Botol</t>
        </is>
      </c>
      <c r="B422" s="4" t="inlineStr">
        <is>
          <t>1 pump</t>
        </is>
      </c>
      <c r="C422" s="4">
        <f>B416&amp;" pump"</f>
        <v/>
      </c>
      <c r="D422" s="4" t="inlineStr">
        <is>
          <t>1 pump per botol</t>
        </is>
      </c>
    </row>
    <row r="424">
      <c r="A424" s="1" t="inlineStr">
        <is>
          <t>Produk: IM002 - 30 ml</t>
        </is>
      </c>
    </row>
    <row r="425">
      <c r="A425" t="inlineStr">
        <is>
          <t>Potensi Hasil Produk (Yield):</t>
        </is>
      </c>
      <c r="B425" s="2" t="n">
        <v>75</v>
      </c>
    </row>
    <row r="426">
      <c r="A426" s="3" t="inlineStr">
        <is>
          <t>Bahan</t>
        </is>
      </c>
      <c r="B426" s="3" t="inlineStr">
        <is>
          <t>Jumlah per Botol (ml/unit)</t>
        </is>
      </c>
      <c r="C426" s="3" t="inlineStr">
        <is>
          <t>Jumlah untuk 75 Botol (ml/unit)</t>
        </is>
      </c>
      <c r="D426" s="3" t="inlineStr">
        <is>
          <t>Keterangan</t>
        </is>
      </c>
    </row>
    <row r="427">
      <c r="A427" s="4" t="inlineStr">
        <is>
          <t>Botol 30 ml</t>
        </is>
      </c>
      <c r="B427" s="4" t="inlineStr">
        <is>
          <t>1 botol (30 ml)</t>
        </is>
      </c>
      <c r="C427" s="4">
        <f>B425&amp;" botol ("&amp;B425*30&amp;" ml)"</f>
        <v/>
      </c>
      <c r="D427" s="4" t="inlineStr">
        <is>
          <t>Botol 30 ml untuk setiap produk</t>
        </is>
      </c>
    </row>
    <row r="428">
      <c r="A428" s="4" t="inlineStr">
        <is>
          <t>Essence Oil</t>
        </is>
      </c>
      <c r="B428" s="4" t="inlineStr">
        <is>
          <t>0,2 ml</t>
        </is>
      </c>
      <c r="C428" s="4">
        <f>B425*0.2&amp;" ml"</f>
        <v/>
      </c>
      <c r="D428" s="4" t="inlineStr">
        <is>
          <t>Diperlukan untuk setiap botol</t>
        </is>
      </c>
    </row>
    <row r="429">
      <c r="A429" s="4" t="inlineStr">
        <is>
          <t>Sunflower Oil</t>
        </is>
      </c>
      <c r="B429" s="4" t="inlineStr">
        <is>
          <t>29,8 ml</t>
        </is>
      </c>
      <c r="C429" s="4">
        <f>B425*29.8&amp;" ml"</f>
        <v/>
      </c>
      <c r="D429" s="4" t="inlineStr">
        <is>
          <t>Sisa dari ukuran botol setelah essence oil</t>
        </is>
      </c>
    </row>
    <row r="430">
      <c r="A430" s="4" t="inlineStr">
        <is>
          <t>Stiker</t>
        </is>
      </c>
      <c r="B430" s="4" t="inlineStr">
        <is>
          <t>1 stiker</t>
        </is>
      </c>
      <c r="C430" s="4">
        <f>B425&amp;" stiker"</f>
        <v/>
      </c>
      <c r="D430" s="4" t="inlineStr">
        <is>
          <t>1 stiker per botol</t>
        </is>
      </c>
    </row>
    <row r="431">
      <c r="A431" s="4" t="inlineStr">
        <is>
          <t>Pump Botol</t>
        </is>
      </c>
      <c r="B431" s="4" t="inlineStr">
        <is>
          <t>1 pump</t>
        </is>
      </c>
      <c r="C431" s="4">
        <f>B425&amp;" pump"</f>
        <v/>
      </c>
      <c r="D431" s="4" t="inlineStr">
        <is>
          <t>1 pump per botol</t>
        </is>
      </c>
    </row>
    <row r="433">
      <c r="A433" s="1" t="inlineStr">
        <is>
          <t>Produk: IM002 - 100 ml</t>
        </is>
      </c>
    </row>
    <row r="434">
      <c r="A434" t="inlineStr">
        <is>
          <t>Potensi Hasil Produk (Yield):</t>
        </is>
      </c>
      <c r="B434" s="2" t="n">
        <v>20</v>
      </c>
    </row>
    <row r="435">
      <c r="A435" s="3" t="inlineStr">
        <is>
          <t>Bahan</t>
        </is>
      </c>
      <c r="B435" s="3" t="inlineStr">
        <is>
          <t>Jumlah per Botol (ml/unit)</t>
        </is>
      </c>
      <c r="C435" s="3" t="inlineStr">
        <is>
          <t>Jumlah untuk 20 Botol (ml/unit)</t>
        </is>
      </c>
      <c r="D435" s="3" t="inlineStr">
        <is>
          <t>Keterangan</t>
        </is>
      </c>
    </row>
    <row r="436">
      <c r="A436" s="4" t="inlineStr">
        <is>
          <t>Botol 100 ml</t>
        </is>
      </c>
      <c r="B436" s="4" t="inlineStr">
        <is>
          <t>1 botol (100 ml)</t>
        </is>
      </c>
      <c r="C436" s="4">
        <f>B434&amp;" botol ("&amp;B434*100&amp;" ml)"</f>
        <v/>
      </c>
      <c r="D436" s="4" t="inlineStr">
        <is>
          <t>Botol 100 ml untuk setiap produk</t>
        </is>
      </c>
    </row>
    <row r="437">
      <c r="A437" s="4" t="inlineStr">
        <is>
          <t>Essence Oil</t>
        </is>
      </c>
      <c r="B437" s="4" t="inlineStr">
        <is>
          <t>0,75 ml</t>
        </is>
      </c>
      <c r="C437" s="4">
        <f>B434*0.75&amp;" ml"</f>
        <v/>
      </c>
      <c r="D437" s="4" t="inlineStr">
        <is>
          <t>Diperlukan untuk setiap botol</t>
        </is>
      </c>
    </row>
    <row r="438">
      <c r="A438" s="4" t="inlineStr">
        <is>
          <t>Sunflower Oil</t>
        </is>
      </c>
      <c r="B438" s="4" t="inlineStr">
        <is>
          <t>99,25 ml</t>
        </is>
      </c>
      <c r="C438" s="4">
        <f>B434*99.25&amp;" ml"</f>
        <v/>
      </c>
      <c r="D438" s="4" t="inlineStr">
        <is>
          <t>Sisa dari ukuran botol setelah essence oil</t>
        </is>
      </c>
    </row>
    <row r="439">
      <c r="A439" s="4" t="inlineStr">
        <is>
          <t>Stiker</t>
        </is>
      </c>
      <c r="B439" s="4" t="inlineStr">
        <is>
          <t>1 stiker</t>
        </is>
      </c>
      <c r="C439" s="4">
        <f>B434&amp;" stiker"</f>
        <v/>
      </c>
      <c r="D439" s="4" t="inlineStr">
        <is>
          <t>1 stiker per botol</t>
        </is>
      </c>
    </row>
    <row r="440">
      <c r="A440" s="4" t="inlineStr">
        <is>
          <t>Pump Botol</t>
        </is>
      </c>
      <c r="B440" s="4" t="inlineStr">
        <is>
          <t>1 pump</t>
        </is>
      </c>
      <c r="C440" s="4">
        <f>B434&amp;" pump"</f>
        <v/>
      </c>
      <c r="D440" s="4" t="inlineStr">
        <is>
          <t>1 pump per botol</t>
        </is>
      </c>
    </row>
    <row r="442">
      <c r="A442" s="1" t="inlineStr">
        <is>
          <t>Produk: IM002 - 250 ml</t>
        </is>
      </c>
    </row>
    <row r="443">
      <c r="A443" t="inlineStr">
        <is>
          <t>Potensi Hasil Produk (Yield):</t>
        </is>
      </c>
      <c r="B443" s="2" t="n">
        <v>20</v>
      </c>
    </row>
    <row r="444">
      <c r="A444" s="3" t="inlineStr">
        <is>
          <t>Bahan</t>
        </is>
      </c>
      <c r="B444" s="3" t="inlineStr">
        <is>
          <t>Jumlah per Botol (ml/unit)</t>
        </is>
      </c>
      <c r="C444" s="3" t="inlineStr">
        <is>
          <t>Jumlah untuk 20 Botol (ml/unit)</t>
        </is>
      </c>
      <c r="D444" s="3" t="inlineStr">
        <is>
          <t>Keterangan</t>
        </is>
      </c>
    </row>
    <row r="445">
      <c r="A445" s="4" t="inlineStr">
        <is>
          <t>Botol 250 ml</t>
        </is>
      </c>
      <c r="B445" s="4" t="inlineStr">
        <is>
          <t>1 botol (250 ml)</t>
        </is>
      </c>
      <c r="C445" s="4">
        <f>B443&amp;" botol ("&amp;B443*250&amp;" ml)"</f>
        <v/>
      </c>
      <c r="D445" s="4" t="inlineStr">
        <is>
          <t>Botol 250 ml untuk setiap produk</t>
        </is>
      </c>
    </row>
    <row r="446">
      <c r="A446" s="4" t="inlineStr">
        <is>
          <t>Essence Oil</t>
        </is>
      </c>
      <c r="B446" s="4" t="inlineStr">
        <is>
          <t>0,75 ml</t>
        </is>
      </c>
      <c r="C446" s="4">
        <f>B443*0.75&amp;" ml"</f>
        <v/>
      </c>
      <c r="D446" s="4" t="inlineStr">
        <is>
          <t>Diperlukan untuk setiap botol</t>
        </is>
      </c>
    </row>
    <row r="447">
      <c r="A447" s="4" t="inlineStr">
        <is>
          <t>Sunflower Oil</t>
        </is>
      </c>
      <c r="B447" s="4" t="inlineStr">
        <is>
          <t>249,25 ml</t>
        </is>
      </c>
      <c r="C447" s="4">
        <f>B443*249.25&amp;" ml"</f>
        <v/>
      </c>
      <c r="D447" s="4" t="inlineStr">
        <is>
          <t>Sisa dari ukuran botol setelah essence oil</t>
        </is>
      </c>
    </row>
    <row r="448">
      <c r="A448" s="4" t="inlineStr">
        <is>
          <t>Stiker</t>
        </is>
      </c>
      <c r="B448" s="4" t="inlineStr">
        <is>
          <t>1 stiker</t>
        </is>
      </c>
      <c r="C448" s="4">
        <f>B443&amp;" stiker"</f>
        <v/>
      </c>
      <c r="D448" s="4" t="inlineStr">
        <is>
          <t>1 stiker per botol</t>
        </is>
      </c>
    </row>
    <row r="449">
      <c r="A449" s="4" t="inlineStr">
        <is>
          <t>Pump Botol</t>
        </is>
      </c>
      <c r="B449" s="4" t="inlineStr">
        <is>
          <t>1 pump</t>
        </is>
      </c>
      <c r="C449" s="4">
        <f>B443&amp;" pump"</f>
        <v/>
      </c>
      <c r="D449" s="4" t="inlineStr">
        <is>
          <t>1 pump per botol</t>
        </is>
      </c>
    </row>
    <row r="451">
      <c r="A451" s="1" t="inlineStr">
        <is>
          <t>Produk: LDR002 - 10 ml</t>
        </is>
      </c>
    </row>
    <row r="452">
      <c r="A452" t="inlineStr">
        <is>
          <t>Potensi Hasil Produk (Yield):</t>
        </is>
      </c>
      <c r="B452" s="2" t="n">
        <v>150</v>
      </c>
    </row>
    <row r="453">
      <c r="A453" s="3" t="inlineStr">
        <is>
          <t>Bahan</t>
        </is>
      </c>
      <c r="B453" s="3" t="inlineStr">
        <is>
          <t>Jumlah per Botol (ml/unit)</t>
        </is>
      </c>
      <c r="C453" s="3" t="inlineStr">
        <is>
          <t>Jumlah untuk 150 Botol (ml/unit)</t>
        </is>
      </c>
      <c r="D453" s="3" t="inlineStr">
        <is>
          <t>Keterangan</t>
        </is>
      </c>
    </row>
    <row r="454">
      <c r="A454" s="4" t="inlineStr">
        <is>
          <t>Botol 10 ml</t>
        </is>
      </c>
      <c r="B454" s="4" t="inlineStr">
        <is>
          <t>1 botol (10 ml)</t>
        </is>
      </c>
      <c r="C454" s="4">
        <f>B452&amp;" botol ("&amp;B452*10&amp;" ml)"</f>
        <v/>
      </c>
      <c r="D454" s="4" t="inlineStr">
        <is>
          <t>Botol 10 ml untuk setiap produk</t>
        </is>
      </c>
    </row>
    <row r="455">
      <c r="A455" s="4" t="inlineStr">
        <is>
          <t>Essence Oil</t>
        </is>
      </c>
      <c r="B455" s="4" t="inlineStr">
        <is>
          <t>0,1 ml</t>
        </is>
      </c>
      <c r="C455" s="4">
        <f>B452*0.1&amp;" ml"</f>
        <v/>
      </c>
      <c r="D455" s="4" t="inlineStr">
        <is>
          <t>Diperlukan untuk setiap botol</t>
        </is>
      </c>
    </row>
    <row r="456">
      <c r="A456" s="4" t="inlineStr">
        <is>
          <t>Sunflower Oil</t>
        </is>
      </c>
      <c r="B456" s="4" t="inlineStr">
        <is>
          <t>9,9 ml</t>
        </is>
      </c>
      <c r="C456" s="4">
        <f>B452*9.9&amp;" ml"</f>
        <v/>
      </c>
      <c r="D456" s="4" t="inlineStr">
        <is>
          <t>Sisa dari ukuran botol setelah essence oil</t>
        </is>
      </c>
    </row>
    <row r="457">
      <c r="A457" s="4" t="inlineStr">
        <is>
          <t>Stiker</t>
        </is>
      </c>
      <c r="B457" s="4" t="inlineStr">
        <is>
          <t>1 stiker</t>
        </is>
      </c>
      <c r="C457" s="4">
        <f>B452&amp;" stiker"</f>
        <v/>
      </c>
      <c r="D457" s="4" t="inlineStr">
        <is>
          <t>1 stiker per botol</t>
        </is>
      </c>
    </row>
    <row r="458">
      <c r="A458" s="4" t="inlineStr">
        <is>
          <t>Pump Botol</t>
        </is>
      </c>
      <c r="B458" s="4" t="inlineStr">
        <is>
          <t>1 pump</t>
        </is>
      </c>
      <c r="C458" s="4">
        <f>B452&amp;" pump"</f>
        <v/>
      </c>
      <c r="D458" s="4" t="inlineStr">
        <is>
          <t>1 pump per botol</t>
        </is>
      </c>
    </row>
    <row r="460">
      <c r="A460" s="1" t="inlineStr">
        <is>
          <t>Produk: LDR002 - 15 ml</t>
        </is>
      </c>
    </row>
    <row r="461">
      <c r="A461" t="inlineStr">
        <is>
          <t>Potensi Hasil Produk (Yield):</t>
        </is>
      </c>
      <c r="B461" s="2" t="n">
        <v>150</v>
      </c>
    </row>
    <row r="462">
      <c r="A462" s="3" t="inlineStr">
        <is>
          <t>Bahan</t>
        </is>
      </c>
      <c r="B462" s="3" t="inlineStr">
        <is>
          <t>Jumlah per Botol (ml/unit)</t>
        </is>
      </c>
      <c r="C462" s="3" t="inlineStr">
        <is>
          <t>Jumlah untuk 150 Botol (ml/unit)</t>
        </is>
      </c>
      <c r="D462" s="3" t="inlineStr">
        <is>
          <t>Keterangan</t>
        </is>
      </c>
    </row>
    <row r="463">
      <c r="A463" s="4" t="inlineStr">
        <is>
          <t>Botol 15 ml</t>
        </is>
      </c>
      <c r="B463" s="4" t="inlineStr">
        <is>
          <t>1 botol (15 ml)</t>
        </is>
      </c>
      <c r="C463" s="4">
        <f>B461&amp;" botol ("&amp;B461*15&amp;" ml)"</f>
        <v/>
      </c>
      <c r="D463" s="4" t="inlineStr">
        <is>
          <t>Botol 15 ml untuk setiap produk</t>
        </is>
      </c>
    </row>
    <row r="464">
      <c r="A464" s="4" t="inlineStr">
        <is>
          <t>Essence Oil</t>
        </is>
      </c>
      <c r="B464" s="4" t="inlineStr">
        <is>
          <t>0,1 ml</t>
        </is>
      </c>
      <c r="C464" s="4">
        <f>B461*0.1&amp;" ml"</f>
        <v/>
      </c>
      <c r="D464" s="4" t="inlineStr">
        <is>
          <t>Diperlukan untuk setiap botol</t>
        </is>
      </c>
    </row>
    <row r="465">
      <c r="A465" s="4" t="inlineStr">
        <is>
          <t>Sunflower Oil</t>
        </is>
      </c>
      <c r="B465" s="4" t="inlineStr">
        <is>
          <t>14,9 ml</t>
        </is>
      </c>
      <c r="C465" s="4">
        <f>B461*14.9&amp;" ml"</f>
        <v/>
      </c>
      <c r="D465" s="4" t="inlineStr">
        <is>
          <t>Sisa dari ukuran botol setelah essence oil</t>
        </is>
      </c>
    </row>
    <row r="466">
      <c r="A466" s="4" t="inlineStr">
        <is>
          <t>Stiker</t>
        </is>
      </c>
      <c r="B466" s="4" t="inlineStr">
        <is>
          <t>1 stiker</t>
        </is>
      </c>
      <c r="C466" s="4">
        <f>B461&amp;" stiker"</f>
        <v/>
      </c>
      <c r="D466" s="4" t="inlineStr">
        <is>
          <t>1 stiker per botol</t>
        </is>
      </c>
    </row>
    <row r="467">
      <c r="A467" s="4" t="inlineStr">
        <is>
          <t>Pump Botol</t>
        </is>
      </c>
      <c r="B467" s="4" t="inlineStr">
        <is>
          <t>1 pump</t>
        </is>
      </c>
      <c r="C467" s="4">
        <f>B461&amp;" pump"</f>
        <v/>
      </c>
      <c r="D467" s="4" t="inlineStr">
        <is>
          <t>1 pump per botol</t>
        </is>
      </c>
    </row>
    <row r="469">
      <c r="A469" s="1" t="inlineStr">
        <is>
          <t>Produk: LDR002 - 30 ml</t>
        </is>
      </c>
    </row>
    <row r="470">
      <c r="A470" t="inlineStr">
        <is>
          <t>Potensi Hasil Produk (Yield):</t>
        </is>
      </c>
      <c r="B470" s="2" t="n">
        <v>75</v>
      </c>
    </row>
    <row r="471">
      <c r="A471" s="3" t="inlineStr">
        <is>
          <t>Bahan</t>
        </is>
      </c>
      <c r="B471" s="3" t="inlineStr">
        <is>
          <t>Jumlah per Botol (ml/unit)</t>
        </is>
      </c>
      <c r="C471" s="3" t="inlineStr">
        <is>
          <t>Jumlah untuk 75 Botol (ml/unit)</t>
        </is>
      </c>
      <c r="D471" s="3" t="inlineStr">
        <is>
          <t>Keterangan</t>
        </is>
      </c>
    </row>
    <row r="472">
      <c r="A472" s="4" t="inlineStr">
        <is>
          <t>Botol 30 ml</t>
        </is>
      </c>
      <c r="B472" s="4" t="inlineStr">
        <is>
          <t>1 botol (30 ml)</t>
        </is>
      </c>
      <c r="C472" s="4">
        <f>B470&amp;" botol ("&amp;B470*30&amp;" ml)"</f>
        <v/>
      </c>
      <c r="D472" s="4" t="inlineStr">
        <is>
          <t>Botol 30 ml untuk setiap produk</t>
        </is>
      </c>
    </row>
    <row r="473">
      <c r="A473" s="4" t="inlineStr">
        <is>
          <t>Essence Oil</t>
        </is>
      </c>
      <c r="B473" s="4" t="inlineStr">
        <is>
          <t>0,2 ml</t>
        </is>
      </c>
      <c r="C473" s="4">
        <f>B470*0.2&amp;" ml"</f>
        <v/>
      </c>
      <c r="D473" s="4" t="inlineStr">
        <is>
          <t>Diperlukan untuk setiap botol</t>
        </is>
      </c>
    </row>
    <row r="474">
      <c r="A474" s="4" t="inlineStr">
        <is>
          <t>Sunflower Oil</t>
        </is>
      </c>
      <c r="B474" s="4" t="inlineStr">
        <is>
          <t>29,8 ml</t>
        </is>
      </c>
      <c r="C474" s="4">
        <f>B470*29.8&amp;" ml"</f>
        <v/>
      </c>
      <c r="D474" s="4" t="inlineStr">
        <is>
          <t>Sisa dari ukuran botol setelah essence oil</t>
        </is>
      </c>
    </row>
    <row r="475">
      <c r="A475" s="4" t="inlineStr">
        <is>
          <t>Stiker</t>
        </is>
      </c>
      <c r="B475" s="4" t="inlineStr">
        <is>
          <t>1 stiker</t>
        </is>
      </c>
      <c r="C475" s="4">
        <f>B470&amp;" stiker"</f>
        <v/>
      </c>
      <c r="D475" s="4" t="inlineStr">
        <is>
          <t>1 stiker per botol</t>
        </is>
      </c>
    </row>
    <row r="476">
      <c r="A476" s="4" t="inlineStr">
        <is>
          <t>Pump Botol</t>
        </is>
      </c>
      <c r="B476" s="4" t="inlineStr">
        <is>
          <t>1 pump</t>
        </is>
      </c>
      <c r="C476" s="4">
        <f>B470&amp;" pump"</f>
        <v/>
      </c>
      <c r="D476" s="4" t="inlineStr">
        <is>
          <t>1 pump per botol</t>
        </is>
      </c>
    </row>
    <row r="478">
      <c r="A478" s="1" t="inlineStr">
        <is>
          <t>Produk: LDR002 - 100 ml</t>
        </is>
      </c>
    </row>
    <row r="479">
      <c r="A479" t="inlineStr">
        <is>
          <t>Potensi Hasil Produk (Yield):</t>
        </is>
      </c>
      <c r="B479" s="2" t="n">
        <v>60</v>
      </c>
    </row>
    <row r="480">
      <c r="A480" s="3" t="inlineStr">
        <is>
          <t>Bahan</t>
        </is>
      </c>
      <c r="B480" s="3" t="inlineStr">
        <is>
          <t>Jumlah per Botol (ml/unit)</t>
        </is>
      </c>
      <c r="C480" s="3" t="inlineStr">
        <is>
          <t>Jumlah untuk 60 Botol (ml/unit)</t>
        </is>
      </c>
      <c r="D480" s="3" t="inlineStr">
        <is>
          <t>Keterangan</t>
        </is>
      </c>
    </row>
    <row r="481">
      <c r="A481" s="4" t="inlineStr">
        <is>
          <t>Botol 100 ml</t>
        </is>
      </c>
      <c r="B481" s="4" t="inlineStr">
        <is>
          <t>1 botol (100 ml)</t>
        </is>
      </c>
      <c r="C481" s="4">
        <f>B479&amp;" botol ("&amp;B479*100&amp;" ml)"</f>
        <v/>
      </c>
      <c r="D481" s="4" t="inlineStr">
        <is>
          <t>Botol 100 ml untuk setiap produk</t>
        </is>
      </c>
    </row>
    <row r="482">
      <c r="A482" s="4" t="inlineStr">
        <is>
          <t>Essence Oil</t>
        </is>
      </c>
      <c r="B482" s="4" t="inlineStr">
        <is>
          <t>0,25 ml</t>
        </is>
      </c>
      <c r="C482" s="4">
        <f>B479*0.25&amp;" ml"</f>
        <v/>
      </c>
      <c r="D482" s="4" t="inlineStr">
        <is>
          <t>Diperlukan untuk setiap botol</t>
        </is>
      </c>
    </row>
    <row r="483">
      <c r="A483" s="4" t="inlineStr">
        <is>
          <t>Sunflower Oil</t>
        </is>
      </c>
      <c r="B483" s="4" t="inlineStr">
        <is>
          <t>99,75 ml</t>
        </is>
      </c>
      <c r="C483" s="4">
        <f>B479*99.75&amp;" ml"</f>
        <v/>
      </c>
      <c r="D483" s="4" t="inlineStr">
        <is>
          <t>Sisa dari ukuran botol setelah essence oil</t>
        </is>
      </c>
    </row>
    <row r="484">
      <c r="A484" s="4" t="inlineStr">
        <is>
          <t>Stiker</t>
        </is>
      </c>
      <c r="B484" s="4" t="inlineStr">
        <is>
          <t>1 stiker</t>
        </is>
      </c>
      <c r="C484" s="4">
        <f>B479&amp;" stiker"</f>
        <v/>
      </c>
      <c r="D484" s="4" t="inlineStr">
        <is>
          <t>1 stiker per botol</t>
        </is>
      </c>
    </row>
    <row r="485">
      <c r="A485" s="4" t="inlineStr">
        <is>
          <t>Pump Botol</t>
        </is>
      </c>
      <c r="B485" s="4" t="inlineStr">
        <is>
          <t>1 pump</t>
        </is>
      </c>
      <c r="C485" s="4">
        <f>B479&amp;" pump"</f>
        <v/>
      </c>
      <c r="D485" s="4" t="inlineStr">
        <is>
          <t>1 pump per botol</t>
        </is>
      </c>
    </row>
    <row r="487">
      <c r="A487" s="1" t="inlineStr">
        <is>
          <t>Produk: LDR002 - 250 ml</t>
        </is>
      </c>
    </row>
    <row r="488">
      <c r="A488" t="inlineStr">
        <is>
          <t>Potensi Hasil Produk (Yield):</t>
        </is>
      </c>
      <c r="B488" s="2" t="n">
        <v>60</v>
      </c>
    </row>
    <row r="489">
      <c r="A489" s="3" t="inlineStr">
        <is>
          <t>Bahan</t>
        </is>
      </c>
      <c r="B489" s="3" t="inlineStr">
        <is>
          <t>Jumlah per Botol (ml/unit)</t>
        </is>
      </c>
      <c r="C489" s="3" t="inlineStr">
        <is>
          <t>Jumlah untuk 60 Botol (ml/unit)</t>
        </is>
      </c>
      <c r="D489" s="3" t="inlineStr">
        <is>
          <t>Keterangan</t>
        </is>
      </c>
    </row>
    <row r="490">
      <c r="A490" s="4" t="inlineStr">
        <is>
          <t>Botol 250 ml</t>
        </is>
      </c>
      <c r="B490" s="4" t="inlineStr">
        <is>
          <t>1 botol (250 ml)</t>
        </is>
      </c>
      <c r="C490" s="4">
        <f>B488&amp;" botol ("&amp;B488*250&amp;" ml)"</f>
        <v/>
      </c>
      <c r="D490" s="4" t="inlineStr">
        <is>
          <t>Botol 250 ml untuk setiap produk</t>
        </is>
      </c>
    </row>
    <row r="491">
      <c r="A491" s="4" t="inlineStr">
        <is>
          <t>Essence Oil</t>
        </is>
      </c>
      <c r="B491" s="4" t="inlineStr">
        <is>
          <t>0,25 ml</t>
        </is>
      </c>
      <c r="C491" s="4">
        <f>B488*0.25&amp;" ml"</f>
        <v/>
      </c>
      <c r="D491" s="4" t="inlineStr">
        <is>
          <t>Diperlukan untuk setiap botol</t>
        </is>
      </c>
    </row>
    <row r="492">
      <c r="A492" s="4" t="inlineStr">
        <is>
          <t>Sunflower Oil</t>
        </is>
      </c>
      <c r="B492" s="4" t="inlineStr">
        <is>
          <t>249,75 ml</t>
        </is>
      </c>
      <c r="C492" s="4">
        <f>B488*249.75&amp;" ml"</f>
        <v/>
      </c>
      <c r="D492" s="4" t="inlineStr">
        <is>
          <t>Sisa dari ukuran botol setelah essence oil</t>
        </is>
      </c>
    </row>
    <row r="493">
      <c r="A493" s="4" t="inlineStr">
        <is>
          <t>Stiker</t>
        </is>
      </c>
      <c r="B493" s="4" t="inlineStr">
        <is>
          <t>1 stiker</t>
        </is>
      </c>
      <c r="C493" s="4">
        <f>B488&amp;" stiker"</f>
        <v/>
      </c>
      <c r="D493" s="4" t="inlineStr">
        <is>
          <t>1 stiker per botol</t>
        </is>
      </c>
    </row>
    <row r="494">
      <c r="A494" s="4" t="inlineStr">
        <is>
          <t>Pump Botol</t>
        </is>
      </c>
      <c r="B494" s="4" t="inlineStr">
        <is>
          <t>1 pump</t>
        </is>
      </c>
      <c r="C494" s="4">
        <f>B488&amp;" pump"</f>
        <v/>
      </c>
      <c r="D494" s="4" t="inlineStr">
        <is>
          <t>1 pump per botol</t>
        </is>
      </c>
    </row>
    <row r="496">
      <c r="A496" s="1" t="inlineStr">
        <is>
          <t>Produk: GF001 - 30 ml</t>
        </is>
      </c>
    </row>
    <row r="497">
      <c r="A497" t="inlineStr">
        <is>
          <t>Potensi Hasil Produk (Yield):</t>
        </is>
      </c>
      <c r="B497" s="2" t="n">
        <v>50</v>
      </c>
    </row>
    <row r="498">
      <c r="A498" s="3" t="inlineStr">
        <is>
          <t>Bahan</t>
        </is>
      </c>
      <c r="B498" s="3" t="inlineStr">
        <is>
          <t>Jumlah per Botol (ml/unit)</t>
        </is>
      </c>
      <c r="C498" s="3" t="inlineStr">
        <is>
          <t>Jumlah untuk 50 Botol (ml/unit)</t>
        </is>
      </c>
      <c r="D498" s="3" t="inlineStr">
        <is>
          <t>Keterangan</t>
        </is>
      </c>
    </row>
    <row r="499">
      <c r="A499" s="4" t="inlineStr">
        <is>
          <t>Botol 30 ml</t>
        </is>
      </c>
      <c r="B499" s="4" t="inlineStr">
        <is>
          <t>1 botol (30 ml)</t>
        </is>
      </c>
      <c r="C499" s="4">
        <f>B497&amp;" botol ("&amp;B497*30&amp;" ml)"</f>
        <v/>
      </c>
      <c r="D499" s="4" t="inlineStr">
        <is>
          <t>Botol 30 ml untuk setiap produk</t>
        </is>
      </c>
    </row>
    <row r="500">
      <c r="A500" s="4" t="inlineStr">
        <is>
          <t>Essence Oil</t>
        </is>
      </c>
      <c r="B500" s="4" t="inlineStr">
        <is>
          <t>0,3 ml</t>
        </is>
      </c>
      <c r="C500" s="4">
        <f>B497*0.3&amp;" ml"</f>
        <v/>
      </c>
      <c r="D500" s="4" t="inlineStr">
        <is>
          <t>Diperlukan untuk setiap botol</t>
        </is>
      </c>
    </row>
    <row r="501">
      <c r="A501" s="4" t="inlineStr">
        <is>
          <t>Sunflower Oil</t>
        </is>
      </c>
      <c r="B501" s="4" t="inlineStr">
        <is>
          <t>29,7 ml</t>
        </is>
      </c>
      <c r="C501" s="4">
        <f>B497*29.7&amp;" ml"</f>
        <v/>
      </c>
      <c r="D501" s="4" t="inlineStr">
        <is>
          <t>Sisa dari ukuran botol setelah essence oil</t>
        </is>
      </c>
    </row>
    <row r="502">
      <c r="A502" s="4" t="inlineStr">
        <is>
          <t>Stiker</t>
        </is>
      </c>
      <c r="B502" s="4" t="inlineStr">
        <is>
          <t>1 stiker</t>
        </is>
      </c>
      <c r="C502" s="4">
        <f>B497&amp;" stiker"</f>
        <v/>
      </c>
      <c r="D502" s="4" t="inlineStr">
        <is>
          <t>1 stiker per botol</t>
        </is>
      </c>
    </row>
    <row r="503">
      <c r="A503" s="4" t="inlineStr">
        <is>
          <t>Pump Botol</t>
        </is>
      </c>
      <c r="B503" s="4" t="inlineStr">
        <is>
          <t>1 pump</t>
        </is>
      </c>
      <c r="C503" s="4">
        <f>B497&amp;" pump"</f>
        <v/>
      </c>
      <c r="D503" s="4" t="inlineStr">
        <is>
          <t>1 pump per botol</t>
        </is>
      </c>
    </row>
    <row r="505">
      <c r="A505" s="1" t="inlineStr">
        <is>
          <t>Produk: GF001 - 100 ml</t>
        </is>
      </c>
    </row>
    <row r="506">
      <c r="A506" t="inlineStr">
        <is>
          <t>Potensi Hasil Produk (Yield):</t>
        </is>
      </c>
      <c r="B506" s="2" t="n">
        <v>15</v>
      </c>
    </row>
    <row r="507">
      <c r="A507" s="3" t="inlineStr">
        <is>
          <t>Bahan</t>
        </is>
      </c>
      <c r="B507" s="3" t="inlineStr">
        <is>
          <t>Jumlah per Botol (ml/unit)</t>
        </is>
      </c>
      <c r="C507" s="3" t="inlineStr">
        <is>
          <t>Jumlah untuk 15 Botol (ml/unit)</t>
        </is>
      </c>
      <c r="D507" s="3" t="inlineStr">
        <is>
          <t>Keterangan</t>
        </is>
      </c>
    </row>
    <row r="508">
      <c r="A508" s="4" t="inlineStr">
        <is>
          <t>Botol 100 ml</t>
        </is>
      </c>
      <c r="B508" s="4" t="inlineStr">
        <is>
          <t>1 botol (100 ml)</t>
        </is>
      </c>
      <c r="C508" s="4">
        <f>B506&amp;" botol ("&amp;B506*100&amp;" ml)"</f>
        <v/>
      </c>
      <c r="D508" s="4" t="inlineStr">
        <is>
          <t>Botol 100 ml untuk setiap produk</t>
        </is>
      </c>
    </row>
    <row r="509">
      <c r="A509" s="4" t="inlineStr">
        <is>
          <t>Essence Oil</t>
        </is>
      </c>
      <c r="B509" s="4" t="inlineStr">
        <is>
          <t>1 ml</t>
        </is>
      </c>
      <c r="C509" s="4">
        <f>B506*1.0&amp;" ml"</f>
        <v/>
      </c>
      <c r="D509" s="4" t="inlineStr">
        <is>
          <t>Diperlukan untuk setiap botol</t>
        </is>
      </c>
    </row>
    <row r="510">
      <c r="A510" s="4" t="inlineStr">
        <is>
          <t>Sunflower Oil</t>
        </is>
      </c>
      <c r="B510" s="4" t="inlineStr">
        <is>
          <t>99 ml</t>
        </is>
      </c>
      <c r="C510" s="4">
        <f>B506*99.0&amp;" ml"</f>
        <v/>
      </c>
      <c r="D510" s="4" t="inlineStr">
        <is>
          <t>Sisa dari ukuran botol setelah essence oil</t>
        </is>
      </c>
    </row>
    <row r="511">
      <c r="A511" s="4" t="inlineStr">
        <is>
          <t>Stiker</t>
        </is>
      </c>
      <c r="B511" s="4" t="inlineStr">
        <is>
          <t>1 stiker</t>
        </is>
      </c>
      <c r="C511" s="4">
        <f>B506&amp;" stiker"</f>
        <v/>
      </c>
      <c r="D511" s="4" t="inlineStr">
        <is>
          <t>1 stiker per botol</t>
        </is>
      </c>
    </row>
    <row r="512">
      <c r="A512" s="4" t="inlineStr">
        <is>
          <t>Pump Botol</t>
        </is>
      </c>
      <c r="B512" s="4" t="inlineStr">
        <is>
          <t>1 pump</t>
        </is>
      </c>
      <c r="C512" s="4">
        <f>B506&amp;" pump"</f>
        <v/>
      </c>
      <c r="D512" s="4" t="inlineStr">
        <is>
          <t>1 pump per botol</t>
        </is>
      </c>
    </row>
    <row r="514">
      <c r="A514" s="1" t="inlineStr">
        <is>
          <t>Produk: GF001 - 250 ml</t>
        </is>
      </c>
    </row>
    <row r="515">
      <c r="A515" t="inlineStr">
        <is>
          <t>Potensi Hasil Produk (Yield):</t>
        </is>
      </c>
      <c r="B515" s="2" t="n">
        <v>15</v>
      </c>
    </row>
    <row r="516">
      <c r="A516" s="3" t="inlineStr">
        <is>
          <t>Bahan</t>
        </is>
      </c>
      <c r="B516" s="3" t="inlineStr">
        <is>
          <t>Jumlah per Botol (ml/unit)</t>
        </is>
      </c>
      <c r="C516" s="3" t="inlineStr">
        <is>
          <t>Jumlah untuk 15 Botol (ml/unit)</t>
        </is>
      </c>
      <c r="D516" s="3" t="inlineStr">
        <is>
          <t>Keterangan</t>
        </is>
      </c>
    </row>
    <row r="517">
      <c r="A517" s="4" t="inlineStr">
        <is>
          <t>Botol 250 ml</t>
        </is>
      </c>
      <c r="B517" s="4" t="inlineStr">
        <is>
          <t>1 botol (250 ml)</t>
        </is>
      </c>
      <c r="C517" s="4">
        <f>B515&amp;" botol ("&amp;B515*250&amp;" ml)"</f>
        <v/>
      </c>
      <c r="D517" s="4" t="inlineStr">
        <is>
          <t>Botol 250 ml untuk setiap produk</t>
        </is>
      </c>
    </row>
    <row r="518">
      <c r="A518" s="4" t="inlineStr">
        <is>
          <t>Essence Oil</t>
        </is>
      </c>
      <c r="B518" s="4" t="inlineStr">
        <is>
          <t>1 ml</t>
        </is>
      </c>
      <c r="C518" s="4">
        <f>B515*1.0&amp;" ml"</f>
        <v/>
      </c>
      <c r="D518" s="4" t="inlineStr">
        <is>
          <t>Diperlukan untuk setiap botol</t>
        </is>
      </c>
    </row>
    <row r="519">
      <c r="A519" s="4" t="inlineStr">
        <is>
          <t>Sunflower Oil</t>
        </is>
      </c>
      <c r="B519" s="4" t="inlineStr">
        <is>
          <t>249 ml</t>
        </is>
      </c>
      <c r="C519" s="4">
        <f>B515*249.0&amp;" ml"</f>
        <v/>
      </c>
      <c r="D519" s="4" t="inlineStr">
        <is>
          <t>Sisa dari ukuran botol setelah essence oil</t>
        </is>
      </c>
    </row>
    <row r="520">
      <c r="A520" s="4" t="inlineStr">
        <is>
          <t>Stiker</t>
        </is>
      </c>
      <c r="B520" s="4" t="inlineStr">
        <is>
          <t>1 stiker</t>
        </is>
      </c>
      <c r="C520" s="4">
        <f>B515&amp;" stiker"</f>
        <v/>
      </c>
      <c r="D520" s="4" t="inlineStr">
        <is>
          <t>1 stiker per botol</t>
        </is>
      </c>
    </row>
    <row r="521">
      <c r="A521" s="4" t="inlineStr">
        <is>
          <t>Pump Botol</t>
        </is>
      </c>
      <c r="B521" s="4" t="inlineStr">
        <is>
          <t>1 pump</t>
        </is>
      </c>
      <c r="C521" s="4">
        <f>B515&amp;" pump"</f>
        <v/>
      </c>
      <c r="D521" s="4" t="inlineStr">
        <is>
          <t>1 pump per botol</t>
        </is>
      </c>
    </row>
    <row r="523">
      <c r="A523" s="1" t="inlineStr">
        <is>
          <t>Produk: DS002 - 10 ml</t>
        </is>
      </c>
    </row>
    <row r="524">
      <c r="A524" t="inlineStr">
        <is>
          <t>Potensi Hasil Produk (Yield):</t>
        </is>
      </c>
      <c r="B524" s="2" t="n">
        <v>150</v>
      </c>
    </row>
    <row r="525">
      <c r="A525" s="3" t="inlineStr">
        <is>
          <t>Bahan</t>
        </is>
      </c>
      <c r="B525" s="3" t="inlineStr">
        <is>
          <t>Jumlah per Botol (ml/unit)</t>
        </is>
      </c>
      <c r="C525" s="3" t="inlineStr">
        <is>
          <t>Jumlah untuk 150 Botol (ml/unit)</t>
        </is>
      </c>
      <c r="D525" s="3" t="inlineStr">
        <is>
          <t>Keterangan</t>
        </is>
      </c>
    </row>
    <row r="526">
      <c r="A526" s="4" t="inlineStr">
        <is>
          <t>Botol 10 ml</t>
        </is>
      </c>
      <c r="B526" s="4" t="inlineStr">
        <is>
          <t>1 botol (10 ml)</t>
        </is>
      </c>
      <c r="C526" s="4">
        <f>B524&amp;" botol ("&amp;B524*10&amp;" ml)"</f>
        <v/>
      </c>
      <c r="D526" s="4" t="inlineStr">
        <is>
          <t>Botol 10 ml untuk setiap produk</t>
        </is>
      </c>
    </row>
    <row r="527">
      <c r="A527" s="4" t="inlineStr">
        <is>
          <t>Essence Oil</t>
        </is>
      </c>
      <c r="B527" s="4" t="inlineStr">
        <is>
          <t>0,1 ml</t>
        </is>
      </c>
      <c r="C527" s="4">
        <f>B524*0.1&amp;" ml"</f>
        <v/>
      </c>
      <c r="D527" s="4" t="inlineStr">
        <is>
          <t>Diperlukan untuk setiap botol</t>
        </is>
      </c>
    </row>
    <row r="528">
      <c r="A528" s="4" t="inlineStr">
        <is>
          <t>Sunflower Oil</t>
        </is>
      </c>
      <c r="B528" s="4" t="inlineStr">
        <is>
          <t>9,9 ml</t>
        </is>
      </c>
      <c r="C528" s="4">
        <f>B524*9.9&amp;" ml"</f>
        <v/>
      </c>
      <c r="D528" s="4" t="inlineStr">
        <is>
          <t>Sisa dari ukuran botol setelah essence oil</t>
        </is>
      </c>
    </row>
    <row r="529">
      <c r="A529" s="4" t="inlineStr">
        <is>
          <t>Stiker</t>
        </is>
      </c>
      <c r="B529" s="4" t="inlineStr">
        <is>
          <t>1 stiker</t>
        </is>
      </c>
      <c r="C529" s="4">
        <f>B524&amp;" stiker"</f>
        <v/>
      </c>
      <c r="D529" s="4" t="inlineStr">
        <is>
          <t>1 stiker per botol</t>
        </is>
      </c>
    </row>
    <row r="530">
      <c r="A530" s="4" t="inlineStr">
        <is>
          <t>Pump Botol</t>
        </is>
      </c>
      <c r="B530" s="4" t="inlineStr">
        <is>
          <t>1 pump</t>
        </is>
      </c>
      <c r="C530" s="4">
        <f>B524&amp;" pump"</f>
        <v/>
      </c>
      <c r="D530" s="4" t="inlineStr">
        <is>
          <t>1 pump per botol</t>
        </is>
      </c>
    </row>
    <row r="532">
      <c r="A532" s="1" t="inlineStr">
        <is>
          <t>Produk: DS002 - 30 ml</t>
        </is>
      </c>
    </row>
    <row r="533">
      <c r="A533" t="inlineStr">
        <is>
          <t>Potensi Hasil Produk (Yield):</t>
        </is>
      </c>
      <c r="B533" s="2" t="n">
        <v>50</v>
      </c>
    </row>
    <row r="534">
      <c r="A534" s="3" t="inlineStr">
        <is>
          <t>Bahan</t>
        </is>
      </c>
      <c r="B534" s="3" t="inlineStr">
        <is>
          <t>Jumlah per Botol (ml/unit)</t>
        </is>
      </c>
      <c r="C534" s="3" t="inlineStr">
        <is>
          <t>Jumlah untuk 50 Botol (ml/unit)</t>
        </is>
      </c>
      <c r="D534" s="3" t="inlineStr">
        <is>
          <t>Keterangan</t>
        </is>
      </c>
    </row>
    <row r="535">
      <c r="A535" s="4" t="inlineStr">
        <is>
          <t>Botol 30 ml</t>
        </is>
      </c>
      <c r="B535" s="4" t="inlineStr">
        <is>
          <t>1 botol (30 ml)</t>
        </is>
      </c>
      <c r="C535" s="4">
        <f>B533&amp;" botol ("&amp;B533*30&amp;" ml)"</f>
        <v/>
      </c>
      <c r="D535" s="4" t="inlineStr">
        <is>
          <t>Botol 30 ml untuk setiap produk</t>
        </is>
      </c>
    </row>
    <row r="536">
      <c r="A536" s="4" t="inlineStr">
        <is>
          <t>Essence Oil</t>
        </is>
      </c>
      <c r="B536" s="4" t="inlineStr">
        <is>
          <t>0,3 ml</t>
        </is>
      </c>
      <c r="C536" s="4">
        <f>B533*0.3&amp;" ml"</f>
        <v/>
      </c>
      <c r="D536" s="4" t="inlineStr">
        <is>
          <t>Diperlukan untuk setiap botol</t>
        </is>
      </c>
    </row>
    <row r="537">
      <c r="A537" s="4" t="inlineStr">
        <is>
          <t>Sunflower Oil</t>
        </is>
      </c>
      <c r="B537" s="4" t="inlineStr">
        <is>
          <t>29,7 ml</t>
        </is>
      </c>
      <c r="C537" s="4">
        <f>B533*29.7&amp;" ml"</f>
        <v/>
      </c>
      <c r="D537" s="4" t="inlineStr">
        <is>
          <t>Sisa dari ukuran botol setelah essence oil</t>
        </is>
      </c>
    </row>
    <row r="538">
      <c r="A538" s="4" t="inlineStr">
        <is>
          <t>Stiker</t>
        </is>
      </c>
      <c r="B538" s="4" t="inlineStr">
        <is>
          <t>1 stiker</t>
        </is>
      </c>
      <c r="C538" s="4">
        <f>B533&amp;" stiker"</f>
        <v/>
      </c>
      <c r="D538" s="4" t="inlineStr">
        <is>
          <t>1 stiker per botol</t>
        </is>
      </c>
    </row>
    <row r="539">
      <c r="A539" s="4" t="inlineStr">
        <is>
          <t>Pump Botol</t>
        </is>
      </c>
      <c r="B539" s="4" t="inlineStr">
        <is>
          <t>1 pump</t>
        </is>
      </c>
      <c r="C539" s="4">
        <f>B533&amp;" pump"</f>
        <v/>
      </c>
      <c r="D539" s="4" t="inlineStr">
        <is>
          <t>1 pump per botol</t>
        </is>
      </c>
    </row>
    <row r="541">
      <c r="A541" s="1" t="inlineStr">
        <is>
          <t>Produk: DS002 - 100 ml</t>
        </is>
      </c>
    </row>
    <row r="542">
      <c r="A542" t="inlineStr">
        <is>
          <t>Potensi Hasil Produk (Yield):</t>
        </is>
      </c>
      <c r="B542" s="2" t="n">
        <v>15</v>
      </c>
    </row>
    <row r="543">
      <c r="A543" s="3" t="inlineStr">
        <is>
          <t>Bahan</t>
        </is>
      </c>
      <c r="B543" s="3" t="inlineStr">
        <is>
          <t>Jumlah per Botol (ml/unit)</t>
        </is>
      </c>
      <c r="C543" s="3" t="inlineStr">
        <is>
          <t>Jumlah untuk 15 Botol (ml/unit)</t>
        </is>
      </c>
      <c r="D543" s="3" t="inlineStr">
        <is>
          <t>Keterangan</t>
        </is>
      </c>
    </row>
    <row r="544">
      <c r="A544" s="4" t="inlineStr">
        <is>
          <t>Botol 100 ml</t>
        </is>
      </c>
      <c r="B544" s="4" t="inlineStr">
        <is>
          <t>1 botol (100 ml)</t>
        </is>
      </c>
      <c r="C544" s="4">
        <f>B542&amp;" botol ("&amp;B542*100&amp;" ml)"</f>
        <v/>
      </c>
      <c r="D544" s="4" t="inlineStr">
        <is>
          <t>Botol 100 ml untuk setiap produk</t>
        </is>
      </c>
    </row>
    <row r="545">
      <c r="A545" s="4" t="inlineStr">
        <is>
          <t>Essence Oil</t>
        </is>
      </c>
      <c r="B545" s="4" t="inlineStr">
        <is>
          <t>1 ml</t>
        </is>
      </c>
      <c r="C545" s="4">
        <f>B542*1.0&amp;" ml"</f>
        <v/>
      </c>
      <c r="D545" s="4" t="inlineStr">
        <is>
          <t>Diperlukan untuk setiap botol</t>
        </is>
      </c>
    </row>
    <row r="546">
      <c r="A546" s="4" t="inlineStr">
        <is>
          <t>Sunflower Oil</t>
        </is>
      </c>
      <c r="B546" s="4" t="inlineStr">
        <is>
          <t>99 ml</t>
        </is>
      </c>
      <c r="C546" s="4">
        <f>B542*99.0&amp;" ml"</f>
        <v/>
      </c>
      <c r="D546" s="4" t="inlineStr">
        <is>
          <t>Sisa dari ukuran botol setelah essence oil</t>
        </is>
      </c>
    </row>
    <row r="547">
      <c r="A547" s="4" t="inlineStr">
        <is>
          <t>Stiker</t>
        </is>
      </c>
      <c r="B547" s="4" t="inlineStr">
        <is>
          <t>1 stiker</t>
        </is>
      </c>
      <c r="C547" s="4">
        <f>B542&amp;" stiker"</f>
        <v/>
      </c>
      <c r="D547" s="4" t="inlineStr">
        <is>
          <t>1 stiker per botol</t>
        </is>
      </c>
    </row>
    <row r="548">
      <c r="A548" s="4" t="inlineStr">
        <is>
          <t>Pump Botol</t>
        </is>
      </c>
      <c r="B548" s="4" t="inlineStr">
        <is>
          <t>1 pump</t>
        </is>
      </c>
      <c r="C548" s="4">
        <f>B542&amp;" pump"</f>
        <v/>
      </c>
      <c r="D548" s="4" t="inlineStr">
        <is>
          <t>1 pump per botol</t>
        </is>
      </c>
    </row>
    <row r="550">
      <c r="A550" s="1" t="inlineStr">
        <is>
          <t>Produk: DS002 - 250 ml</t>
        </is>
      </c>
    </row>
    <row r="551">
      <c r="A551" t="inlineStr">
        <is>
          <t>Potensi Hasil Produk (Yield):</t>
        </is>
      </c>
      <c r="B551" s="2" t="n">
        <v>15</v>
      </c>
    </row>
    <row r="552">
      <c r="A552" s="3" t="inlineStr">
        <is>
          <t>Bahan</t>
        </is>
      </c>
      <c r="B552" s="3" t="inlineStr">
        <is>
          <t>Jumlah per Botol (ml/unit)</t>
        </is>
      </c>
      <c r="C552" s="3" t="inlineStr">
        <is>
          <t>Jumlah untuk 15 Botol (ml/unit)</t>
        </is>
      </c>
      <c r="D552" s="3" t="inlineStr">
        <is>
          <t>Keterangan</t>
        </is>
      </c>
    </row>
    <row r="553">
      <c r="A553" s="4" t="inlineStr">
        <is>
          <t>Botol 250 ml</t>
        </is>
      </c>
      <c r="B553" s="4" t="inlineStr">
        <is>
          <t>1 botol (250 ml)</t>
        </is>
      </c>
      <c r="C553" s="4">
        <f>B551&amp;" botol ("&amp;B551*250&amp;" ml)"</f>
        <v/>
      </c>
      <c r="D553" s="4" t="inlineStr">
        <is>
          <t>Botol 250 ml untuk setiap produk</t>
        </is>
      </c>
    </row>
    <row r="554">
      <c r="A554" s="4" t="inlineStr">
        <is>
          <t>Essence Oil</t>
        </is>
      </c>
      <c r="B554" s="4" t="inlineStr">
        <is>
          <t>1 ml</t>
        </is>
      </c>
      <c r="C554" s="4">
        <f>B551*1.0&amp;" ml"</f>
        <v/>
      </c>
      <c r="D554" s="4" t="inlineStr">
        <is>
          <t>Diperlukan untuk setiap botol</t>
        </is>
      </c>
    </row>
    <row r="555">
      <c r="A555" s="4" t="inlineStr">
        <is>
          <t>Sunflower Oil</t>
        </is>
      </c>
      <c r="B555" s="4" t="inlineStr">
        <is>
          <t>249 ml</t>
        </is>
      </c>
      <c r="C555" s="4">
        <f>B551*249.0&amp;" ml"</f>
        <v/>
      </c>
      <c r="D555" s="4" t="inlineStr">
        <is>
          <t>Sisa dari ukuran botol setelah essence oil</t>
        </is>
      </c>
    </row>
    <row r="556">
      <c r="A556" s="4" t="inlineStr">
        <is>
          <t>Stiker</t>
        </is>
      </c>
      <c r="B556" s="4" t="inlineStr">
        <is>
          <t>1 stiker</t>
        </is>
      </c>
      <c r="C556" s="4">
        <f>B551&amp;" stiker"</f>
        <v/>
      </c>
      <c r="D556" s="4" t="inlineStr">
        <is>
          <t>1 stiker per botol</t>
        </is>
      </c>
    </row>
    <row r="557">
      <c r="A557" s="4" t="inlineStr">
        <is>
          <t>Pump Botol</t>
        </is>
      </c>
      <c r="B557" s="4" t="inlineStr">
        <is>
          <t>1 pump</t>
        </is>
      </c>
      <c r="C557" s="4">
        <f>B551&amp;" pump"</f>
        <v/>
      </c>
      <c r="D557" s="4" t="inlineStr">
        <is>
          <t>1 pump per botol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2026-04-01T08:34:11Z</dcterms:created>
  <dcterms:modified xmlns:dcterms="http://purl.org/dc/terms/" xmlns:xsi="http://www.w3.org/2001/XMLSchema-instance" xsi:type="dcterms:W3CDTF">2026-04-01T08:34:11Z</dcterms:modified>
</cp:coreProperties>
</file>